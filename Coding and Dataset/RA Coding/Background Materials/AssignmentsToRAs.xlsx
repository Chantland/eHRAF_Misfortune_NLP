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ericchantland/Library/CloudStorage/Dropbox/MEM-DEV-LAB-Current/MEM-DEV-Stuff-for-RAs/Background Materials/"/>
    </mc:Choice>
  </mc:AlternateContent>
  <xr:revisionPtr revIDLastSave="0" documentId="13_ncr:1_{F09D885D-C54F-E24B-969E-A1D53FDA5EB6}" xr6:coauthVersionLast="47" xr6:coauthVersionMax="47" xr10:uidLastSave="{00000000-0000-0000-0000-000000000000}"/>
  <bookViews>
    <workbookView xWindow="11720" yWindow="500" windowWidth="30620" windowHeight="22340" activeTab="1" xr2:uid="{B4A38D57-F742-5846-A40C-3A20BB7BE07B}"/>
  </bookViews>
  <sheets>
    <sheet name="sickness data" sheetId="3" r:id="rId1"/>
    <sheet name="sickness and nonsickness data" sheetId="6" r:id="rId2"/>
    <sheet name="OCM 750 and 780 comparison" sheetId="4" r:id="rId3"/>
    <sheet name="PB-NewList"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9" i="6" l="1"/>
  <c r="N7"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15" i="6"/>
  <c r="N16" i="6"/>
  <c r="N17" i="6"/>
  <c r="N18" i="6"/>
  <c r="N19" i="6"/>
  <c r="N20" i="6"/>
  <c r="N21" i="6"/>
  <c r="N14" i="6"/>
  <c r="N6" i="6"/>
  <c r="N8" i="6"/>
  <c r="N9" i="6"/>
  <c r="N10" i="6"/>
  <c r="N11" i="6"/>
  <c r="N12" i="6"/>
  <c r="N13" i="6"/>
  <c r="N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19" i="6"/>
  <c r="L20" i="6"/>
  <c r="L21" i="6"/>
  <c r="L22" i="6"/>
  <c r="L23" i="6"/>
  <c r="L24" i="6"/>
  <c r="L25" i="6"/>
  <c r="L2" i="6"/>
  <c r="L3" i="6"/>
  <c r="L4" i="6"/>
  <c r="L5" i="6"/>
  <c r="L6" i="6"/>
  <c r="L7" i="6"/>
  <c r="L8" i="6"/>
  <c r="L9" i="6"/>
  <c r="L10" i="6"/>
  <c r="L11" i="6"/>
  <c r="L12" i="6"/>
  <c r="L13" i="6"/>
  <c r="L14" i="6"/>
  <c r="L15" i="6"/>
  <c r="L16" i="6"/>
  <c r="L17" i="6"/>
  <c r="L18" i="6"/>
  <c r="B67" i="4"/>
  <c r="R69" i="4"/>
  <c r="D61" i="5"/>
  <c r="D64" i="3"/>
  <c r="D59" i="5"/>
  <c r="D60" i="5"/>
  <c r="D63" i="3"/>
  <c r="G67" i="4"/>
  <c r="C67" i="4"/>
  <c r="J4" i="4"/>
  <c r="J5" i="4"/>
  <c r="J6" i="4"/>
  <c r="J7" i="4"/>
  <c r="J8" i="4"/>
  <c r="J9" i="4"/>
  <c r="I66" i="4" s="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R68" i="4" s="1"/>
  <c r="J46" i="4"/>
  <c r="J47" i="4"/>
  <c r="J48" i="4"/>
  <c r="J49" i="4"/>
  <c r="J50" i="4"/>
  <c r="J51" i="4"/>
  <c r="J52" i="4"/>
  <c r="J53" i="4"/>
  <c r="J54" i="4"/>
  <c r="J55" i="4"/>
  <c r="J56" i="4"/>
  <c r="J57" i="4"/>
  <c r="J58" i="4"/>
  <c r="J59" i="4"/>
  <c r="J60" i="4"/>
  <c r="J61" i="4"/>
  <c r="J62" i="4"/>
  <c r="J3" i="4"/>
  <c r="I65" i="4" s="1"/>
  <c r="R67" i="4" l="1"/>
  <c r="S68" i="4"/>
  <c r="S67" i="4"/>
  <c r="I64" i="4"/>
  <c r="S69" i="4"/>
  <c r="F56"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7" i="4"/>
  <c r="F58" i="4"/>
  <c r="F59" i="4"/>
  <c r="F60" i="4"/>
  <c r="F61" i="4"/>
  <c r="F62" i="4"/>
  <c r="F3" i="4"/>
  <c r="Q69" i="4" l="1"/>
  <c r="Q68" i="4"/>
  <c r="Q67" i="4"/>
  <c r="E66" i="4"/>
  <c r="P67" i="4"/>
  <c r="P68" i="4"/>
  <c r="P69" i="4"/>
  <c r="E65" i="4"/>
  <c r="E64" i="4"/>
  <c r="N23" i="4"/>
  <c r="N23" i="4"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<sst xmlns="http://schemas.openxmlformats.org/spreadsheetml/2006/main" count="952" uniqueCount="200">
  <si>
    <t>REGION</t>
  </si>
  <si>
    <t>Africa</t>
  </si>
  <si>
    <t>Oceania</t>
  </si>
  <si>
    <t>Asia</t>
  </si>
  <si>
    <t>Europe</t>
  </si>
  <si>
    <t>CULTURE</t>
  </si>
  <si>
    <t>Lozi</t>
  </si>
  <si>
    <t>Tikopia</t>
  </si>
  <si>
    <t>Shluh</t>
  </si>
  <si>
    <t>Tzeltal</t>
  </si>
  <si>
    <t>Mbuti</t>
  </si>
  <si>
    <t>Andamans</t>
  </si>
  <si>
    <t>Aymara</t>
  </si>
  <si>
    <t>Highland Scots</t>
  </si>
  <si>
    <t>Yanoama</t>
  </si>
  <si>
    <t>Iban</t>
  </si>
  <si>
    <t>Trobriands</t>
  </si>
  <si>
    <t>Taiwan Hokkien</t>
  </si>
  <si>
    <t>Aranda</t>
  </si>
  <si>
    <t>Chukchee</t>
  </si>
  <si>
    <t>Ona</t>
  </si>
  <si>
    <t>Kurds</t>
  </si>
  <si>
    <t>Khasi</t>
  </si>
  <si>
    <t>Maasai</t>
  </si>
  <si>
    <t>Bororo</t>
  </si>
  <si>
    <t>Iroquois</t>
  </si>
  <si>
    <t>Saami</t>
  </si>
  <si>
    <t>Copper Inuit</t>
  </si>
  <si>
    <t>Lau Fijians</t>
  </si>
  <si>
    <t>Eastern Toraja</t>
  </si>
  <si>
    <t>Bemba</t>
  </si>
  <si>
    <t>Tlingit</t>
  </si>
  <si>
    <t>Sinhalese</t>
  </si>
  <si>
    <t>Kogi</t>
  </si>
  <si>
    <t>Hausa</t>
  </si>
  <si>
    <t>Tarahumara</t>
  </si>
  <si>
    <t>Somali</t>
  </si>
  <si>
    <t>Mataco</t>
  </si>
  <si>
    <t>Serbs</t>
  </si>
  <si>
    <t>Yakut</t>
  </si>
  <si>
    <t>Pawnee</t>
  </si>
  <si>
    <t>Kanuri</t>
  </si>
  <si>
    <t>Amhara</t>
  </si>
  <si>
    <t>Tiv</t>
  </si>
  <si>
    <t>Santal</t>
  </si>
  <si>
    <t>Ganda</t>
  </si>
  <si>
    <t>Korea</t>
  </si>
  <si>
    <t>Klamath</t>
  </si>
  <si>
    <t>Kapauku</t>
  </si>
  <si>
    <t>Guaraní</t>
  </si>
  <si>
    <t>Tukano</t>
  </si>
  <si>
    <t>Azande</t>
  </si>
  <si>
    <t>Blackfoot</t>
  </si>
  <si>
    <t>Garo</t>
  </si>
  <si>
    <t>Bahia Brazilians</t>
  </si>
  <si>
    <t>Kuna</t>
  </si>
  <si>
    <t>Wolof</t>
  </si>
  <si>
    <t>Libyan Bedouin</t>
  </si>
  <si>
    <t>Ifugao</t>
  </si>
  <si>
    <t>Chuuk</t>
  </si>
  <si>
    <t>Saramaka</t>
  </si>
  <si>
    <t>Akan</t>
  </si>
  <si>
    <t>Ojibwa</t>
  </si>
  <si>
    <t>Dogon</t>
  </si>
  <si>
    <t>Central Thai</t>
  </si>
  <si>
    <t>Hopi</t>
  </si>
  <si>
    <t>OWC</t>
  </si>
  <si>
    <t>Reading1:Who?</t>
  </si>
  <si>
    <t>Reading2:Who?</t>
  </si>
  <si>
    <t>NOTE:these may not have enough info for coding - will be examined later</t>
  </si>
  <si>
    <t>mw11</t>
  </si>
  <si>
    <t>es10</t>
  </si>
  <si>
    <t>ma11</t>
  </si>
  <si>
    <t>Middle-East</t>
  </si>
  <si>
    <t>ax04</t>
  </si>
  <si>
    <t>ms14</t>
  </si>
  <si>
    <t>fq05</t>
  </si>
  <si>
    <t>oj29</t>
  </si>
  <si>
    <t>ms30</t>
  </si>
  <si>
    <t>so11</t>
  </si>
  <si>
    <t>South-America</t>
  </si>
  <si>
    <t>ar07</t>
  </si>
  <si>
    <t>sm04</t>
  </si>
  <si>
    <t>nr10</t>
  </si>
  <si>
    <t>North-America</t>
  </si>
  <si>
    <t>ol06</t>
  </si>
  <si>
    <t>rv02</t>
  </si>
  <si>
    <t>nd08</t>
  </si>
  <si>
    <t>fo04</t>
  </si>
  <si>
    <t>oq06</t>
  </si>
  <si>
    <t>fq09</t>
  </si>
  <si>
    <t>sr15</t>
  </si>
  <si>
    <t>si07</t>
  </si>
  <si>
    <t>nq18</t>
  </si>
  <si>
    <t>sp08</t>
  </si>
  <si>
    <t>mt09</t>
  </si>
  <si>
    <t>sc07</t>
  </si>
  <si>
    <t>sq18</t>
  </si>
  <si>
    <t>oi08</t>
  </si>
  <si>
    <t>fl12</t>
  </si>
  <si>
    <t>ep04</t>
  </si>
  <si>
    <t>mo04</t>
  </si>
  <si>
    <t>sh04</t>
  </si>
  <si>
    <t>sq19</t>
  </si>
  <si>
    <t>ot11</t>
  </si>
  <si>
    <t>ms12</t>
  </si>
  <si>
    <t>nf06</t>
  </si>
  <si>
    <t>nv09</t>
  </si>
  <si>
    <t>Middle-America-and-the-Caribbean</t>
  </si>
  <si>
    <t>fk07</t>
  </si>
  <si>
    <t>az02</t>
  </si>
  <si>
    <t>aw42</t>
  </si>
  <si>
    <t>sf05</t>
  </si>
  <si>
    <t>oc06</t>
  </si>
  <si>
    <t>aa01</t>
  </si>
  <si>
    <t>na12</t>
  </si>
  <si>
    <t>fo07</t>
  </si>
  <si>
    <t>fe12</t>
  </si>
  <si>
    <t>ar05</t>
  </si>
  <si>
    <t>fa16</t>
  </si>
  <si>
    <t>nu33</t>
  </si>
  <si>
    <t>ef06</t>
  </si>
  <si>
    <t>mp05</t>
  </si>
  <si>
    <t>ry02</t>
  </si>
  <si>
    <t>ao07</t>
  </si>
  <si>
    <t>nm09</t>
  </si>
  <si>
    <t>or19</t>
  </si>
  <si>
    <t>ff57</t>
  </si>
  <si>
    <t>sb05</t>
  </si>
  <si>
    <t>nt09</t>
  </si>
  <si>
    <t>og11</t>
  </si>
  <si>
    <t>ad05</t>
  </si>
  <si>
    <t>ng06</t>
  </si>
  <si>
    <t>oa19</t>
  </si>
  <si>
    <t>N passages (750, 751, 752, 753)</t>
  </si>
  <si>
    <t>RA KK</t>
  </si>
  <si>
    <t>RA KY</t>
  </si>
  <si>
    <t>RA AH</t>
  </si>
  <si>
    <t>RA HL</t>
  </si>
  <si>
    <t>RA YM</t>
  </si>
  <si>
    <t>RA LG</t>
  </si>
  <si>
    <t>UNFINISHED - AH</t>
  </si>
  <si>
    <t>UNFINISHED - LG</t>
  </si>
  <si>
    <t>UNFINISHED - KY</t>
  </si>
  <si>
    <t>Not Started - YM</t>
  </si>
  <si>
    <t>Not Started - LG</t>
  </si>
  <si>
    <t>UNFINISHED -YM</t>
  </si>
  <si>
    <t>Culture</t>
  </si>
  <si>
    <t>750</t>
  </si>
  <si>
    <t>780</t>
  </si>
  <si>
    <t>percentage</t>
  </si>
  <si>
    <t>log abs ratio</t>
  </si>
  <si>
    <t>["780", "781", "784", "785"]</t>
  </si>
  <si>
    <t>750-753</t>
  </si>
  <si>
    <t>["780", "781", "784", "785", "788"]</t>
  </si>
  <si>
    <t>Adequate</t>
  </si>
  <si>
    <t>First coding</t>
  </si>
  <si>
    <t>Second coding</t>
  </si>
  <si>
    <t>Status</t>
  </si>
  <si>
    <t>Done</t>
  </si>
  <si>
    <t>Reading1 by</t>
  </si>
  <si>
    <t>Reading2 by:</t>
  </si>
  <si>
    <t>Total sum of passages from 750 scraping</t>
  </si>
  <si>
    <t>assuming that the "unfishined" were in fact finished</t>
  </si>
  <si>
    <t>assuming that the "unfinished" are not coded at all</t>
  </si>
  <si>
    <t>Passages that remain to be read/coded, for single complete sweep</t>
  </si>
  <si>
    <t>780 pass</t>
  </si>
  <si>
    <t>750 + 780</t>
  </si>
  <si>
    <t>Outside the range of 30%-70% difference between 
misfortune coding and non-misfortune coding (780)</t>
  </si>
  <si>
    <t>Very balanced 40%-60%difference between 
misfortune coding and non-misfortune coding (780)</t>
  </si>
  <si>
    <t>Somewhat acceptable 30%-39% or 61%-70% difference between 
misfortune coding and non-misfortune coding (780)</t>
  </si>
  <si>
    <t>Code only ".5" cultures or higher</t>
  </si>
  <si>
    <t>Code only "1" cultures</t>
  </si>
  <si>
    <t>Code all cultures</t>
  </si>
  <si>
    <t>Region</t>
  </si>
  <si>
    <t>RA JM</t>
  </si>
  <si>
    <t>RA KB</t>
  </si>
  <si>
    <t>RA LR</t>
  </si>
  <si>
    <t>RA MJ</t>
  </si>
  <si>
    <t>RA SC</t>
  </si>
  <si>
    <t>RA CHD</t>
  </si>
  <si>
    <t>Info: Original sickness dataset, this dataset was used in the initial machine learning training and includes all passages of 750-753 except for duplicates that share OCMS (and blanks) note that this is slightly different from the new dataset nonsickness which removes all deplicates even if they do not share OCMS</t>
  </si>
  <si>
    <t>info: This dataset is mant to be the continuation of the originally scraped dataset 750-753 which was found to potentially not have enough false instances of misfortune. We then scraped a new set of OCMs ["780", "781", "784", "785", '586' , '684' , '688' , '731' , '732' , '756' , '767' , '777' , '791' , '792' , '793' , '431' , '572' , '594' , '613' , '624' , '675' , '853'] which composed of misfortune and non-misfortune OCMS. Our new coding attempts to use many of the old misfortune dataset passages but including a balanced non-sickness dataset of OCMS ['784' , '731' , '732' , '777' , '791', '793']. Note that unlike the other dataset previously coded (the sinkess  750-753) this new altogether dataset (composed of the sickness and nonsickness datasets) removes all duplicated even if they share OCMS and is a bit more critical of odd in passage notes like if they contain "[ a ]" or "[unavailable]"</t>
  </si>
  <si>
    <t>Lookup sickness dataset RAs</t>
  </si>
  <si>
    <t>DONE</t>
  </si>
  <si>
    <t>UNFINISHED</t>
  </si>
  <si>
    <t>Partition</t>
  </si>
  <si>
    <t>Total Cultural Passage Count</t>
  </si>
  <si>
    <t>Partition Passage Count</t>
  </si>
  <si>
    <t>TOTAL</t>
  </si>
  <si>
    <t>may not keep</t>
  </si>
  <si>
    <t>RA SJ</t>
  </si>
  <si>
    <t>RA BK</t>
  </si>
  <si>
    <t>RA KW</t>
  </si>
  <si>
    <t>RA JH</t>
  </si>
  <si>
    <t>ef07</t>
  </si>
  <si>
    <t>split (finished)</t>
  </si>
  <si>
    <t>fa17</t>
  </si>
  <si>
    <t>RA AL</t>
  </si>
  <si>
    <t>ff58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</si>
</sst>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8"/>
      <color theme="1"/>
      <name val="Calibri"/>
      <family val="2"/>
      <scheme val="minor"/>
    </font>
    <font>
      <sz val="10"/>
      <color indexed="8"/>
      <name val="Arial"/>
      <family val="2"/>
    </font>
    <font>
      <sz val="12"/>
      <name val="Arial"/>
      <family val="2"/>
    </font>
    <font>
      <sz val="12"/>
      <color theme="1"/>
      <name val="Arial"/>
      <family val="2"/>
    </font>
    <font>
      <sz val="12"/>
      <color theme="0"/>
      <name val="Arial"/>
      <family val="2"/>
    </font>
    <font>
      <b/>
      <sz val="11"/>
      <color theme="1"/>
      <name val="Calibri"/>
      <family val="2"/>
      <scheme val="minor"/>
    </font>
    <font>
      <b/>
      <sz val="18"/>
      <color theme="1"/>
      <name val="Calibri"/>
      <family val="2"/>
      <scheme val="minor"/>
    </font>
    <font>
      <sz val="10"/>
      <color theme="0"/>
      <name val="Arial"/>
      <family val="2"/>
    </font>
    <font>
      <sz val="10"/>
      <color theme="1"/>
      <name val="Calibri"/>
      <family val="2"/>
      <scheme val="minor"/>
    </font>
    <font>
      <sz val="10"/>
      <name val="Arial"/>
      <family val="2"/>
    </font>
    <font>
      <sz val="10"/>
      <color theme="1"/>
      <name val="Arial"/>
      <family val="2"/>
    </font>
    <font>
      <sz val="26"/>
      <color theme="1"/>
      <name val="Calibri"/>
      <family val="2"/>
      <scheme val="minor"/>
    </font>
    <font>
      <sz val="11"/>
      <color theme="1"/>
      <name val="Calibri"/>
      <family val="2"/>
      <scheme val="minor"/>
    </font>
    <font>
      <sz val="16"/>
      <color theme="0"/>
      <name val="Arial"/>
      <family val="2"/>
    </font>
    <font>
      <sz val="9"/>
      <name val="Calibri"/>
      <family val="2"/>
      <scheme val="minor"/>
    </font>
  </fonts>
  <fills count="12">
    <fill>
      <patternFill patternType="none"/>
    </fill>
    <fill>
      <patternFill patternType="gray125"/>
    </fill>
    <fill>
      <patternFill patternType="solid">
        <fgColor theme="1" tint="0.499984740745262"/>
        <bgColor indexed="0"/>
      </patternFill>
    </fill>
    <fill>
      <patternFill patternType="solid">
        <fgColor theme="1" tint="0.499984740745262"/>
        <bgColor indexed="64"/>
      </patternFill>
    </fill>
    <fill>
      <patternFill patternType="solid">
        <fgColor theme="2"/>
        <bgColor indexed="64"/>
      </patternFill>
    </fill>
    <fill>
      <patternFill patternType="solid">
        <fgColor theme="2" tint="-0.249977111117893"/>
        <bgColor indexed="64"/>
      </patternFill>
    </fill>
    <fill>
      <patternFill patternType="solid">
        <fgColor rgb="FF00B0F0"/>
        <bgColor indexed="64"/>
      </patternFill>
    </fill>
    <fill>
      <patternFill patternType="solid">
        <fgColor rgb="FF00B0F0"/>
        <bgColor indexed="0"/>
      </patternFill>
    </fill>
    <fill>
      <patternFill patternType="solid">
        <fgColor rgb="FFD5FC7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1" fillId="0" borderId="0"/>
  </cellStyleXfs>
  <cellXfs count="59">
    <xf numFmtId="0" fontId="0" fillId="0" borderId="0" xfId="0"/>
    <xf numFmtId="0" fontId="3" fillId="0" borderId="0" xfId="0" applyFont="1"/>
    <xf numFmtId="0" fontId="2" fillId="0" borderId="1" xfId="1" applyFont="1" applyBorder="1"/>
    <xf numFmtId="0" fontId="2" fillId="0" borderId="1" xfId="1" applyFont="1" applyBorder="1" applyAlignment="1">
      <alignment horizontal="center" wrapText="1"/>
    </xf>
    <xf numFmtId="0" fontId="3" fillId="0" borderId="0" xfId="0" applyFont="1" applyAlignment="1">
      <alignment horizontal="center"/>
    </xf>
    <xf numFmtId="0" fontId="2" fillId="0" borderId="0" xfId="1" applyFont="1" applyAlignment="1">
      <alignment wrapText="1"/>
    </xf>
    <xf numFmtId="0" fontId="4" fillId="2" borderId="1" xfId="1" applyFont="1" applyFill="1" applyBorder="1" applyAlignment="1">
      <alignment horizontal="center" wrapText="1"/>
    </xf>
    <xf numFmtId="0" fontId="4" fillId="2" borderId="0" xfId="1" applyFont="1" applyFill="1" applyAlignment="1">
      <alignment horizontal="center" wrapText="1"/>
    </xf>
    <xf numFmtId="0" fontId="4" fillId="3" borderId="0" xfId="0" applyFont="1" applyFill="1" applyAlignment="1">
      <alignment wrapText="1"/>
    </xf>
    <xf numFmtId="0" fontId="3" fillId="0" borderId="0" xfId="0" applyFont="1" applyAlignment="1">
      <alignment wrapText="1"/>
    </xf>
    <xf numFmtId="49" fontId="2" fillId="0" borderId="1" xfId="1" applyNumberFormat="1" applyFont="1" applyBorder="1" applyAlignment="1">
      <alignment wrapText="1"/>
    </xf>
    <xf numFmtId="0" fontId="0" fillId="4" borderId="0" xfId="0" applyFill="1"/>
    <xf numFmtId="0" fontId="6" fillId="5" borderId="1" xfId="0" applyFont="1" applyFill="1" applyBorder="1" applyAlignment="1">
      <alignment horizontal="center" vertical="top"/>
    </xf>
    <xf numFmtId="0" fontId="6" fillId="5" borderId="2" xfId="0" applyFont="1" applyFill="1" applyBorder="1" applyAlignment="1">
      <alignment horizontal="center" vertical="top"/>
    </xf>
    <xf numFmtId="0" fontId="0" fillId="5" borderId="3" xfId="0" applyFill="1" applyBorder="1"/>
    <xf numFmtId="0" fontId="6" fillId="5" borderId="6" xfId="0" applyFont="1" applyFill="1" applyBorder="1" applyAlignment="1">
      <alignment horizontal="center" vertical="top"/>
    </xf>
    <xf numFmtId="0" fontId="6" fillId="5" borderId="7" xfId="0" applyFont="1" applyFill="1" applyBorder="1" applyAlignment="1">
      <alignment horizontal="center" vertical="top"/>
    </xf>
    <xf numFmtId="0" fontId="6" fillId="5" borderId="8" xfId="0" applyFont="1" applyFill="1" applyBorder="1" applyAlignment="1">
      <alignment horizontal="center" vertical="top"/>
    </xf>
    <xf numFmtId="0" fontId="0" fillId="0" borderId="9" xfId="0" applyBorder="1"/>
    <xf numFmtId="0" fontId="0" fillId="0" borderId="10" xfId="0" applyBorder="1"/>
    <xf numFmtId="0" fontId="7" fillId="2" borderId="1" xfId="1" applyFont="1" applyFill="1" applyBorder="1" applyAlignment="1">
      <alignment horizontal="center" wrapText="1"/>
    </xf>
    <xf numFmtId="0" fontId="7" fillId="2" borderId="0" xfId="1" applyFont="1" applyFill="1" applyAlignment="1">
      <alignment horizontal="center" wrapText="1"/>
    </xf>
    <xf numFmtId="0" fontId="7" fillId="6" borderId="0" xfId="0" applyFont="1" applyFill="1" applyAlignment="1">
      <alignment horizontal="center" wrapText="1"/>
    </xf>
    <xf numFmtId="0" fontId="7" fillId="7" borderId="0" xfId="1" applyFont="1" applyFill="1" applyAlignment="1">
      <alignment horizontal="center" wrapText="1"/>
    </xf>
    <xf numFmtId="0" fontId="8" fillId="0" borderId="0" xfId="0" applyFont="1" applyAlignment="1">
      <alignment horizontal="center"/>
    </xf>
    <xf numFmtId="0" fontId="9" fillId="0" borderId="1" xfId="1" applyFont="1" applyBorder="1" applyAlignment="1">
      <alignment horizontal="center" wrapText="1"/>
    </xf>
    <xf numFmtId="49" fontId="9" fillId="0" borderId="1" xfId="1" applyNumberFormat="1" applyFont="1" applyBorder="1" applyAlignment="1">
      <alignment wrapText="1"/>
    </xf>
    <xf numFmtId="0" fontId="9" fillId="0" borderId="0" xfId="1" applyFont="1" applyAlignment="1">
      <alignment wrapText="1"/>
    </xf>
    <xf numFmtId="0" fontId="8" fillId="0" borderId="0" xfId="0" applyFont="1"/>
    <xf numFmtId="0" fontId="8" fillId="8" borderId="0" xfId="0" applyFont="1" applyFill="1" applyAlignment="1">
      <alignment horizontal="center" wrapText="1"/>
    </xf>
    <xf numFmtId="0" fontId="8" fillId="0" borderId="0" xfId="0" applyFont="1" applyAlignment="1">
      <alignment horizontal="center" wrapText="1"/>
    </xf>
    <xf numFmtId="0" fontId="8" fillId="0" borderId="0" xfId="0" applyFont="1" applyAlignment="1">
      <alignment wrapText="1"/>
    </xf>
    <xf numFmtId="0" fontId="9" fillId="0" borderId="1" xfId="1" applyFont="1" applyBorder="1"/>
    <xf numFmtId="0" fontId="10" fillId="0" borderId="0" xfId="0" applyFont="1" applyAlignment="1">
      <alignment horizontal="center"/>
    </xf>
    <xf numFmtId="0" fontId="8" fillId="0" borderId="0" xfId="0" applyFont="1" applyAlignment="1">
      <alignment horizontal="left"/>
    </xf>
    <xf numFmtId="0" fontId="11" fillId="0" borderId="12" xfId="0" applyFont="1" applyBorder="1" applyAlignment="1">
      <alignment horizontal="center" vertical="center"/>
    </xf>
    <xf numFmtId="0" fontId="11" fillId="0" borderId="10" xfId="0" applyFont="1" applyBorder="1" applyAlignment="1">
      <alignment horizontal="center" vertical="center"/>
    </xf>
    <xf numFmtId="0" fontId="11" fillId="0" borderId="14" xfId="0" applyFont="1" applyBorder="1" applyAlignment="1">
      <alignment horizontal="center" vertical="center"/>
    </xf>
    <xf numFmtId="0" fontId="0" fillId="9" borderId="11" xfId="0" applyFill="1" applyBorder="1" applyAlignment="1">
      <alignment wrapText="1"/>
    </xf>
    <xf numFmtId="0" fontId="0" fillId="9" borderId="9" xfId="0" applyFill="1" applyBorder="1" applyAlignment="1">
      <alignment wrapText="1"/>
    </xf>
    <xf numFmtId="0" fontId="0" fillId="9" borderId="13" xfId="0" applyFill="1" applyBorder="1" applyAlignment="1">
      <alignment wrapText="1"/>
    </xf>
    <xf numFmtId="0" fontId="0" fillId="0" borderId="11" xfId="0" applyBorder="1"/>
    <xf numFmtId="0" fontId="0" fillId="11" borderId="0" xfId="0" applyFill="1"/>
    <xf numFmtId="0" fontId="0" fillId="11" borderId="10" xfId="0" applyFill="1" applyBorder="1"/>
    <xf numFmtId="0" fontId="0" fillId="11" borderId="9" xfId="0" applyFill="1" applyBorder="1"/>
    <xf numFmtId="0" fontId="0" fillId="11" borderId="13" xfId="0" applyFill="1" applyBorder="1"/>
    <xf numFmtId="0" fontId="0" fillId="0" borderId="16" xfId="0" applyBorder="1"/>
    <xf numFmtId="0" fontId="0" fillId="0" borderId="14" xfId="0" applyBorder="1"/>
    <xf numFmtId="0" fontId="0" fillId="0" borderId="13" xfId="0" applyBorder="1"/>
    <xf numFmtId="0" fontId="5" fillId="0" borderId="1" xfId="0" applyFont="1" applyBorder="1" applyAlignment="1">
      <alignment horizontal="center" vertical="top"/>
    </xf>
    <xf numFmtId="0" fontId="12" fillId="0" borderId="0" xfId="0" applyFont="1" applyAlignment="1">
      <alignment wrapText="1"/>
    </xf>
    <xf numFmtId="0" fontId="13" fillId="2" borderId="1" xfId="1" applyFont="1" applyFill="1" applyBorder="1" applyAlignment="1">
      <alignment horizontal="center" wrapText="1"/>
    </xf>
    <xf numFmtId="0" fontId="13" fillId="2" borderId="0" xfId="1" applyFont="1" applyFill="1" applyAlignment="1">
      <alignment horizontal="center" wrapText="1"/>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10" borderId="11" xfId="0" applyFill="1" applyBorder="1" applyAlignment="1">
      <alignment horizontal="center"/>
    </xf>
    <xf numFmtId="0" fontId="0" fillId="10" borderId="12" xfId="0" applyFill="1" applyBorder="1" applyAlignment="1">
      <alignment horizontal="center"/>
    </xf>
    <xf numFmtId="0" fontId="0" fillId="10" borderId="15" xfId="0" applyFill="1" applyBorder="1" applyAlignment="1">
      <alignment horizontal="center"/>
    </xf>
  </cellXfs>
  <cellStyles count="2">
    <cellStyle name="Normal" xfId="0" builtinId="0"/>
    <cellStyle name="Normal_Sheet1" xfId="1" xr:uid="{255E39A9-C735-1843-BF30-5FB5F9141DD8}"/>
  </cellStyles>
  <dxfs count="0"/>
  <tableStyles count="0" defaultTableStyle="TableStyleMedium2" defaultPivotStyle="PivotStyleLight16"/>
  <colors>
    <mruColors>
      <color rgb="FFD5FC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94E5-6E01-6942-A12F-533180B023DC}">
  <dimension ref="A1:I64"/>
  <sheetViews>
    <sheetView topLeftCell="A29" zoomScale="130" zoomScaleNormal="130" workbookViewId="0">
      <selection activeCell="E59" sqref="E59"/>
    </sheetView>
  </sheetViews>
  <sheetFormatPr baseColWidth="10" defaultColWidth="10.77734375" defaultRowHeight="24" x14ac:dyDescent="0.3"/>
  <cols>
    <col min="1" max="1" width="10.77734375" style="4"/>
    <col min="2" max="4" width="10.77734375" style="1"/>
    <col min="5" max="5" width="19.5546875" customWidth="1"/>
    <col min="6" max="6" width="23" style="1" customWidth="1"/>
    <col min="7" max="8" width="10.77734375" style="1"/>
    <col min="9" max="9" width="43.6640625" style="1" customWidth="1"/>
    <col min="10" max="16384" width="10.77734375" style="1"/>
  </cols>
  <sheetData>
    <row r="1" spans="1:9" s="9" customFormat="1" ht="52" customHeight="1" x14ac:dyDescent="0.2">
      <c r="A1" s="6" t="s">
        <v>66</v>
      </c>
      <c r="B1" s="6" t="s">
        <v>0</v>
      </c>
      <c r="C1" s="6" t="s">
        <v>5</v>
      </c>
      <c r="D1" s="7" t="s">
        <v>134</v>
      </c>
      <c r="E1" s="8" t="s">
        <v>67</v>
      </c>
      <c r="F1" s="8" t="s">
        <v>68</v>
      </c>
      <c r="G1" s="8" t="s">
        <v>156</v>
      </c>
      <c r="H1" s="8" t="s">
        <v>157</v>
      </c>
      <c r="I1" s="9" t="s">
        <v>181</v>
      </c>
    </row>
    <row r="2" spans="1:9" ht="17" x14ac:dyDescent="0.2">
      <c r="A2" s="3" t="s">
        <v>70</v>
      </c>
      <c r="B2" s="2" t="s">
        <v>1</v>
      </c>
      <c r="C2" s="10" t="s">
        <v>8</v>
      </c>
      <c r="D2" s="5">
        <v>1</v>
      </c>
      <c r="E2" s="1" t="s">
        <v>69</v>
      </c>
    </row>
    <row r="3" spans="1:9" ht="17" x14ac:dyDescent="0.2">
      <c r="A3" s="3" t="s">
        <v>71</v>
      </c>
      <c r="B3" s="2" t="s">
        <v>4</v>
      </c>
      <c r="C3" s="10" t="s">
        <v>13</v>
      </c>
      <c r="D3" s="5">
        <v>7</v>
      </c>
      <c r="E3" s="1" t="s">
        <v>69</v>
      </c>
    </row>
    <row r="4" spans="1:9" ht="17" x14ac:dyDescent="0.2">
      <c r="A4" s="3" t="s">
        <v>72</v>
      </c>
      <c r="B4" s="2" t="s">
        <v>73</v>
      </c>
      <c r="C4" s="10" t="s">
        <v>21</v>
      </c>
      <c r="D4" s="5">
        <v>12</v>
      </c>
      <c r="E4" s="1" t="s">
        <v>140</v>
      </c>
    </row>
    <row r="5" spans="1:9" ht="17" x14ac:dyDescent="0.2">
      <c r="A5" s="3" t="s">
        <v>74</v>
      </c>
      <c r="B5" s="2" t="s">
        <v>3</v>
      </c>
      <c r="C5" s="10" t="s">
        <v>32</v>
      </c>
      <c r="D5" s="5">
        <v>12</v>
      </c>
      <c r="E5" s="1"/>
    </row>
    <row r="6" spans="1:9" ht="17" x14ac:dyDescent="0.2">
      <c r="A6" s="3" t="s">
        <v>75</v>
      </c>
      <c r="B6" s="2" t="s">
        <v>1</v>
      </c>
      <c r="C6" s="10" t="s">
        <v>41</v>
      </c>
      <c r="D6" s="5">
        <v>15</v>
      </c>
      <c r="E6" s="1"/>
    </row>
    <row r="7" spans="1:9" ht="17" x14ac:dyDescent="0.2">
      <c r="A7" s="3" t="s">
        <v>76</v>
      </c>
      <c r="B7" s="2" t="s">
        <v>1</v>
      </c>
      <c r="C7" s="10" t="s">
        <v>30</v>
      </c>
      <c r="D7" s="5">
        <v>17</v>
      </c>
      <c r="E7" s="1"/>
    </row>
    <row r="8" spans="1:9" ht="17" x14ac:dyDescent="0.2">
      <c r="A8" s="3" t="s">
        <v>77</v>
      </c>
      <c r="B8" s="2" t="s">
        <v>2</v>
      </c>
      <c r="C8" s="10" t="s">
        <v>48</v>
      </c>
      <c r="D8" s="5">
        <v>18</v>
      </c>
      <c r="E8" s="1"/>
    </row>
    <row r="9" spans="1:9" ht="17" x14ac:dyDescent="0.2">
      <c r="A9" s="3" t="s">
        <v>78</v>
      </c>
      <c r="B9" s="2" t="s">
        <v>1</v>
      </c>
      <c r="C9" s="10" t="s">
        <v>56</v>
      </c>
      <c r="D9" s="5">
        <v>23</v>
      </c>
      <c r="E9" s="1"/>
    </row>
    <row r="10" spans="1:9" ht="17" x14ac:dyDescent="0.2">
      <c r="A10" s="3" t="s">
        <v>79</v>
      </c>
      <c r="B10" s="2" t="s">
        <v>80</v>
      </c>
      <c r="C10" s="10" t="s">
        <v>54</v>
      </c>
      <c r="D10" s="5">
        <v>23</v>
      </c>
      <c r="E10" s="1"/>
    </row>
    <row r="11" spans="1:9" ht="17" x14ac:dyDescent="0.2">
      <c r="A11" s="3" t="s">
        <v>81</v>
      </c>
      <c r="B11" s="2" t="s">
        <v>3</v>
      </c>
      <c r="C11" s="10" t="s">
        <v>22</v>
      </c>
      <c r="D11" s="5">
        <v>25</v>
      </c>
      <c r="E11" s="1"/>
    </row>
    <row r="12" spans="1:9" ht="17" x14ac:dyDescent="0.2">
      <c r="A12" s="3" t="s">
        <v>82</v>
      </c>
      <c r="B12" s="2" t="s">
        <v>80</v>
      </c>
      <c r="C12" s="10" t="s">
        <v>49</v>
      </c>
      <c r="D12" s="5">
        <v>27</v>
      </c>
      <c r="E12" s="1"/>
    </row>
    <row r="13" spans="1:9" ht="17" x14ac:dyDescent="0.2">
      <c r="A13" s="3" t="s">
        <v>83</v>
      </c>
      <c r="B13" s="2" t="s">
        <v>84</v>
      </c>
      <c r="C13" s="10" t="s">
        <v>47</v>
      </c>
      <c r="D13" s="5">
        <v>29</v>
      </c>
      <c r="E13" s="1"/>
    </row>
    <row r="14" spans="1:9" ht="17" x14ac:dyDescent="0.2">
      <c r="A14" s="3" t="s">
        <v>85</v>
      </c>
      <c r="B14" s="2" t="s">
        <v>2</v>
      </c>
      <c r="C14" s="10" t="s">
        <v>16</v>
      </c>
      <c r="D14" s="5">
        <v>29</v>
      </c>
      <c r="E14" s="1" t="s">
        <v>138</v>
      </c>
    </row>
    <row r="15" spans="1:9" ht="17" x14ac:dyDescent="0.2">
      <c r="A15" s="3" t="s">
        <v>86</v>
      </c>
      <c r="B15" s="2" t="s">
        <v>3</v>
      </c>
      <c r="C15" s="10" t="s">
        <v>39</v>
      </c>
      <c r="D15" s="5">
        <v>30</v>
      </c>
      <c r="E15" s="1" t="s">
        <v>138</v>
      </c>
    </row>
    <row r="16" spans="1:9" ht="17" x14ac:dyDescent="0.2">
      <c r="A16" s="3" t="s">
        <v>87</v>
      </c>
      <c r="B16" s="2" t="s">
        <v>84</v>
      </c>
      <c r="C16" s="10" t="s">
        <v>27</v>
      </c>
      <c r="D16" s="5">
        <v>33</v>
      </c>
      <c r="E16" s="1" t="s">
        <v>140</v>
      </c>
      <c r="F16" s="1" t="s">
        <v>139</v>
      </c>
    </row>
    <row r="17" spans="1:8" ht="17" x14ac:dyDescent="0.2">
      <c r="A17" s="3" t="s">
        <v>88</v>
      </c>
      <c r="B17" s="2" t="s">
        <v>1</v>
      </c>
      <c r="C17" s="10" t="s">
        <v>10</v>
      </c>
      <c r="D17" s="5">
        <v>34</v>
      </c>
      <c r="E17" s="1"/>
    </row>
    <row r="18" spans="1:8" ht="17" x14ac:dyDescent="0.2">
      <c r="A18" s="3" t="s">
        <v>89</v>
      </c>
      <c r="B18" s="2" t="s">
        <v>2</v>
      </c>
      <c r="C18" s="10" t="s">
        <v>28</v>
      </c>
      <c r="D18" s="5">
        <v>39</v>
      </c>
      <c r="E18" s="1" t="s">
        <v>139</v>
      </c>
    </row>
    <row r="19" spans="1:8" ht="17" x14ac:dyDescent="0.2">
      <c r="A19" s="3" t="s">
        <v>90</v>
      </c>
      <c r="B19" s="2" t="s">
        <v>1</v>
      </c>
      <c r="C19" s="10" t="s">
        <v>6</v>
      </c>
      <c r="D19" s="5">
        <v>40</v>
      </c>
      <c r="E19" s="1" t="s">
        <v>138</v>
      </c>
      <c r="F19" s="1" t="s">
        <v>140</v>
      </c>
      <c r="H19" s="1" t="s">
        <v>142</v>
      </c>
    </row>
    <row r="20" spans="1:8" ht="17" x14ac:dyDescent="0.2">
      <c r="A20" s="3" t="s">
        <v>91</v>
      </c>
      <c r="B20" s="2" t="s">
        <v>80</v>
      </c>
      <c r="C20" s="10" t="s">
        <v>60</v>
      </c>
      <c r="D20" s="5">
        <v>44</v>
      </c>
      <c r="E20" s="1"/>
    </row>
    <row r="21" spans="1:8" ht="17" x14ac:dyDescent="0.2">
      <c r="A21" s="3" t="s">
        <v>92</v>
      </c>
      <c r="B21" s="2" t="s">
        <v>80</v>
      </c>
      <c r="C21" s="10" t="s">
        <v>37</v>
      </c>
      <c r="D21" s="5">
        <v>45</v>
      </c>
      <c r="E21" s="1" t="s">
        <v>137</v>
      </c>
      <c r="G21" s="1" t="s">
        <v>141</v>
      </c>
    </row>
    <row r="22" spans="1:8" ht="17" x14ac:dyDescent="0.2">
      <c r="A22" s="3" t="s">
        <v>93</v>
      </c>
      <c r="B22" s="2" t="s">
        <v>84</v>
      </c>
      <c r="C22" s="10" t="s">
        <v>40</v>
      </c>
      <c r="D22" s="5">
        <v>46</v>
      </c>
      <c r="E22" s="1" t="s">
        <v>140</v>
      </c>
      <c r="F22" s="1" t="s">
        <v>139</v>
      </c>
      <c r="H22" s="1" t="s">
        <v>146</v>
      </c>
    </row>
    <row r="23" spans="1:8" ht="17" x14ac:dyDescent="0.2">
      <c r="A23" s="3" t="s">
        <v>94</v>
      </c>
      <c r="B23" s="2" t="s">
        <v>80</v>
      </c>
      <c r="C23" s="10" t="s">
        <v>24</v>
      </c>
      <c r="D23" s="5">
        <v>47</v>
      </c>
      <c r="E23" s="1" t="s">
        <v>138</v>
      </c>
    </row>
    <row r="24" spans="1:8" ht="17" x14ac:dyDescent="0.2">
      <c r="A24" s="3" t="s">
        <v>95</v>
      </c>
      <c r="B24" s="2" t="s">
        <v>1</v>
      </c>
      <c r="C24" s="10" t="s">
        <v>57</v>
      </c>
      <c r="D24" s="5">
        <v>49</v>
      </c>
      <c r="E24" s="1" t="s">
        <v>139</v>
      </c>
      <c r="F24" s="1" t="s">
        <v>140</v>
      </c>
      <c r="H24" s="1" t="s">
        <v>145</v>
      </c>
    </row>
    <row r="25" spans="1:8" ht="17" x14ac:dyDescent="0.2">
      <c r="A25" s="3" t="s">
        <v>96</v>
      </c>
      <c r="B25" s="2" t="s">
        <v>80</v>
      </c>
      <c r="C25" s="10" t="s">
        <v>33</v>
      </c>
      <c r="D25" s="5">
        <v>52</v>
      </c>
      <c r="E25" s="1" t="s">
        <v>140</v>
      </c>
      <c r="F25" s="1" t="s">
        <v>139</v>
      </c>
      <c r="H25" s="1" t="s">
        <v>144</v>
      </c>
    </row>
    <row r="26" spans="1:8" ht="17" x14ac:dyDescent="0.2">
      <c r="A26" s="3" t="s">
        <v>97</v>
      </c>
      <c r="B26" s="2" t="s">
        <v>80</v>
      </c>
      <c r="C26" s="10" t="s">
        <v>14</v>
      </c>
      <c r="D26" s="5">
        <v>55</v>
      </c>
      <c r="E26" s="1" t="s">
        <v>140</v>
      </c>
    </row>
    <row r="27" spans="1:8" ht="17" x14ac:dyDescent="0.2">
      <c r="A27" s="3" t="s">
        <v>98</v>
      </c>
      <c r="B27" s="2" t="s">
        <v>2</v>
      </c>
      <c r="C27" s="10" t="s">
        <v>18</v>
      </c>
      <c r="D27" s="5">
        <v>63</v>
      </c>
      <c r="E27" s="1" t="s">
        <v>135</v>
      </c>
    </row>
    <row r="28" spans="1:8" ht="17" x14ac:dyDescent="0.2">
      <c r="A28" s="3" t="s">
        <v>99</v>
      </c>
      <c r="B28" s="2" t="s">
        <v>1</v>
      </c>
      <c r="C28" s="10" t="s">
        <v>23</v>
      </c>
      <c r="D28" s="5">
        <v>66</v>
      </c>
      <c r="E28" s="1" t="s">
        <v>136</v>
      </c>
    </row>
    <row r="29" spans="1:8" ht="17" x14ac:dyDescent="0.2">
      <c r="A29" s="3" t="s">
        <v>100</v>
      </c>
      <c r="B29" s="2" t="s">
        <v>4</v>
      </c>
      <c r="C29" s="10" t="s">
        <v>26</v>
      </c>
      <c r="D29" s="5">
        <v>66</v>
      </c>
      <c r="E29" s="1" t="s">
        <v>137</v>
      </c>
    </row>
    <row r="30" spans="1:8" ht="17" x14ac:dyDescent="0.2">
      <c r="A30" s="3" t="s">
        <v>101</v>
      </c>
      <c r="B30" s="2" t="s">
        <v>1</v>
      </c>
      <c r="C30" s="10" t="s">
        <v>36</v>
      </c>
      <c r="D30" s="5">
        <v>69</v>
      </c>
      <c r="E30" s="1" t="s">
        <v>138</v>
      </c>
    </row>
    <row r="31" spans="1:8" ht="17" x14ac:dyDescent="0.2">
      <c r="A31" s="3" t="s">
        <v>102</v>
      </c>
      <c r="B31" s="2" t="s">
        <v>80</v>
      </c>
      <c r="C31" s="10" t="s">
        <v>20</v>
      </c>
      <c r="D31" s="5">
        <v>69</v>
      </c>
      <c r="E31" s="1" t="s">
        <v>139</v>
      </c>
    </row>
    <row r="32" spans="1:8" ht="17" x14ac:dyDescent="0.2">
      <c r="A32" s="3" t="s">
        <v>103</v>
      </c>
      <c r="B32" s="2" t="s">
        <v>80</v>
      </c>
      <c r="C32" s="10" t="s">
        <v>50</v>
      </c>
      <c r="D32" s="5">
        <v>73</v>
      </c>
      <c r="E32" s="1" t="s">
        <v>140</v>
      </c>
    </row>
    <row r="33" spans="1:7" ht="17" x14ac:dyDescent="0.2">
      <c r="A33" s="3" t="s">
        <v>104</v>
      </c>
      <c r="B33" s="2" t="s">
        <v>2</v>
      </c>
      <c r="C33" s="10" t="s">
        <v>7</v>
      </c>
      <c r="D33" s="5">
        <v>74</v>
      </c>
      <c r="E33" s="1" t="s">
        <v>139</v>
      </c>
    </row>
    <row r="34" spans="1:7" ht="17" x14ac:dyDescent="0.2">
      <c r="A34" s="3" t="s">
        <v>105</v>
      </c>
      <c r="B34" s="2" t="s">
        <v>1</v>
      </c>
      <c r="C34" s="10" t="s">
        <v>34</v>
      </c>
      <c r="D34" s="5">
        <v>77</v>
      </c>
      <c r="E34" s="1" t="s">
        <v>136</v>
      </c>
    </row>
    <row r="35" spans="1:7" ht="17" x14ac:dyDescent="0.2">
      <c r="A35" s="3" t="s">
        <v>106</v>
      </c>
      <c r="B35" s="2" t="s">
        <v>84</v>
      </c>
      <c r="C35" s="10" t="s">
        <v>52</v>
      </c>
      <c r="D35" s="5">
        <v>83</v>
      </c>
      <c r="E35" s="1" t="s">
        <v>137</v>
      </c>
    </row>
    <row r="36" spans="1:7" ht="17" x14ac:dyDescent="0.2">
      <c r="A36" s="3" t="s">
        <v>107</v>
      </c>
      <c r="B36" s="2" t="s">
        <v>108</v>
      </c>
      <c r="C36" s="10" t="s">
        <v>9</v>
      </c>
      <c r="D36" s="5">
        <v>83</v>
      </c>
      <c r="E36" s="1" t="s">
        <v>135</v>
      </c>
    </row>
    <row r="37" spans="1:7" ht="17" x14ac:dyDescent="0.2">
      <c r="A37" s="3" t="s">
        <v>109</v>
      </c>
      <c r="B37" s="2" t="s">
        <v>1</v>
      </c>
      <c r="C37" s="10" t="s">
        <v>45</v>
      </c>
      <c r="D37" s="5">
        <v>84</v>
      </c>
      <c r="E37" s="1" t="s">
        <v>136</v>
      </c>
    </row>
    <row r="38" spans="1:7" ht="17" x14ac:dyDescent="0.2">
      <c r="A38" s="3" t="s">
        <v>110</v>
      </c>
      <c r="B38" s="2" t="s">
        <v>3</v>
      </c>
      <c r="C38" s="10" t="s">
        <v>11</v>
      </c>
      <c r="D38" s="5">
        <v>90</v>
      </c>
      <c r="E38" s="1" t="s">
        <v>139</v>
      </c>
    </row>
    <row r="39" spans="1:7" ht="17" x14ac:dyDescent="0.2">
      <c r="A39" s="3" t="s">
        <v>111</v>
      </c>
      <c r="B39" s="2" t="s">
        <v>3</v>
      </c>
      <c r="C39" s="10" t="s">
        <v>44</v>
      </c>
      <c r="D39" s="5">
        <v>92</v>
      </c>
      <c r="E39" s="1" t="s">
        <v>140</v>
      </c>
    </row>
    <row r="40" spans="1:7" ht="17" x14ac:dyDescent="0.2">
      <c r="A40" s="3" t="s">
        <v>112</v>
      </c>
      <c r="B40" s="2" t="s">
        <v>80</v>
      </c>
      <c r="C40" s="10" t="s">
        <v>12</v>
      </c>
      <c r="D40" s="5">
        <v>97</v>
      </c>
      <c r="E40" s="1" t="s">
        <v>138</v>
      </c>
    </row>
    <row r="41" spans="1:7" ht="17" x14ac:dyDescent="0.2">
      <c r="A41" s="3" t="s">
        <v>113</v>
      </c>
      <c r="B41" s="2" t="s">
        <v>3</v>
      </c>
      <c r="C41" s="10" t="s">
        <v>15</v>
      </c>
      <c r="D41" s="5">
        <v>104</v>
      </c>
      <c r="E41" s="1" t="s">
        <v>136</v>
      </c>
      <c r="G41" s="1" t="s">
        <v>143</v>
      </c>
    </row>
    <row r="42" spans="1:7" ht="17" x14ac:dyDescent="0.2">
      <c r="A42" s="3" t="s">
        <v>114</v>
      </c>
      <c r="B42" s="2" t="s">
        <v>3</v>
      </c>
      <c r="C42" s="10" t="s">
        <v>46</v>
      </c>
      <c r="D42" s="5">
        <v>107</v>
      </c>
      <c r="E42" s="1"/>
    </row>
    <row r="43" spans="1:7" ht="17" x14ac:dyDescent="0.2">
      <c r="A43" s="3" t="s">
        <v>115</v>
      </c>
      <c r="B43" s="2" t="s">
        <v>84</v>
      </c>
      <c r="C43" s="10" t="s">
        <v>31</v>
      </c>
      <c r="D43" s="5">
        <v>112</v>
      </c>
      <c r="E43" s="1"/>
    </row>
    <row r="44" spans="1:7" ht="17" x14ac:dyDescent="0.2">
      <c r="A44" s="3" t="s">
        <v>116</v>
      </c>
      <c r="B44" s="2" t="s">
        <v>1</v>
      </c>
      <c r="C44" s="10" t="s">
        <v>51</v>
      </c>
      <c r="D44" s="5">
        <v>115</v>
      </c>
      <c r="E44" s="1"/>
    </row>
    <row r="45" spans="1:7" ht="17" x14ac:dyDescent="0.2">
      <c r="A45" s="3" t="s">
        <v>117</v>
      </c>
      <c r="B45" s="2" t="s">
        <v>1</v>
      </c>
      <c r="C45" s="10" t="s">
        <v>61</v>
      </c>
      <c r="D45" s="5">
        <v>124</v>
      </c>
      <c r="E45" s="1"/>
    </row>
    <row r="46" spans="1:7" ht="17" x14ac:dyDescent="0.2">
      <c r="A46" s="3" t="s">
        <v>118</v>
      </c>
      <c r="B46" s="2" t="s">
        <v>3</v>
      </c>
      <c r="C46" s="10" t="s">
        <v>53</v>
      </c>
      <c r="D46" s="5">
        <v>125</v>
      </c>
      <c r="E46" s="1"/>
    </row>
    <row r="47" spans="1:7" ht="17" x14ac:dyDescent="0.2">
      <c r="A47" s="3" t="s">
        <v>119</v>
      </c>
      <c r="B47" s="2" t="s">
        <v>1</v>
      </c>
      <c r="C47" s="10" t="s">
        <v>63</v>
      </c>
      <c r="D47" s="5">
        <v>127</v>
      </c>
      <c r="E47" s="1"/>
    </row>
    <row r="48" spans="1:7" ht="17" x14ac:dyDescent="0.2">
      <c r="A48" s="3" t="s">
        <v>120</v>
      </c>
      <c r="B48" s="2" t="s">
        <v>108</v>
      </c>
      <c r="C48" s="10" t="s">
        <v>35</v>
      </c>
      <c r="D48" s="5">
        <v>136</v>
      </c>
      <c r="E48" s="1"/>
    </row>
    <row r="49" spans="1:7" ht="17" x14ac:dyDescent="0.2">
      <c r="A49" s="3" t="s">
        <v>121</v>
      </c>
      <c r="B49" s="2" t="s">
        <v>4</v>
      </c>
      <c r="C49" s="10" t="s">
        <v>38</v>
      </c>
      <c r="D49" s="5">
        <v>175</v>
      </c>
      <c r="E49" s="1"/>
    </row>
    <row r="50" spans="1:7" ht="17" x14ac:dyDescent="0.2">
      <c r="A50" s="3" t="s">
        <v>122</v>
      </c>
      <c r="B50" s="2" t="s">
        <v>1</v>
      </c>
      <c r="C50" s="10" t="s">
        <v>42</v>
      </c>
      <c r="D50" s="5">
        <v>175</v>
      </c>
      <c r="E50" s="1"/>
    </row>
    <row r="51" spans="1:7" ht="17" x14ac:dyDescent="0.2">
      <c r="A51" s="3" t="s">
        <v>123</v>
      </c>
      <c r="B51" s="2" t="s">
        <v>3</v>
      </c>
      <c r="C51" s="10" t="s">
        <v>19</v>
      </c>
      <c r="D51" s="5">
        <v>180</v>
      </c>
      <c r="E51" s="1" t="s">
        <v>139</v>
      </c>
    </row>
    <row r="52" spans="1:7" ht="17" x14ac:dyDescent="0.2">
      <c r="A52" s="3" t="s">
        <v>124</v>
      </c>
      <c r="B52" s="2" t="s">
        <v>3</v>
      </c>
      <c r="C52" s="10" t="s">
        <v>64</v>
      </c>
      <c r="D52" s="5">
        <v>220</v>
      </c>
      <c r="E52" s="1"/>
    </row>
    <row r="53" spans="1:7" ht="17" x14ac:dyDescent="0.2">
      <c r="A53" s="3" t="s">
        <v>125</v>
      </c>
      <c r="B53" s="2" t="s">
        <v>84</v>
      </c>
      <c r="C53" s="10" t="s">
        <v>25</v>
      </c>
      <c r="D53" s="5">
        <v>238</v>
      </c>
      <c r="E53" s="1"/>
    </row>
    <row r="54" spans="1:7" ht="17" x14ac:dyDescent="0.2">
      <c r="A54" s="3" t="s">
        <v>126</v>
      </c>
      <c r="B54" s="2" t="s">
        <v>2</v>
      </c>
      <c r="C54" s="10" t="s">
        <v>59</v>
      </c>
      <c r="D54" s="5">
        <v>249</v>
      </c>
      <c r="E54" s="1"/>
    </row>
    <row r="55" spans="1:7" ht="17" x14ac:dyDescent="0.2">
      <c r="A55" s="3" t="s">
        <v>127</v>
      </c>
      <c r="B55" s="2" t="s">
        <v>1</v>
      </c>
      <c r="C55" s="10" t="s">
        <v>43</v>
      </c>
      <c r="D55" s="5">
        <v>267</v>
      </c>
      <c r="E55" s="1"/>
    </row>
    <row r="56" spans="1:7" ht="17" x14ac:dyDescent="0.2">
      <c r="A56" s="3" t="s">
        <v>128</v>
      </c>
      <c r="B56" s="2" t="s">
        <v>108</v>
      </c>
      <c r="C56" s="10" t="s">
        <v>55</v>
      </c>
      <c r="D56" s="5">
        <v>277</v>
      </c>
      <c r="E56" s="1"/>
    </row>
    <row r="57" spans="1:7" ht="17" x14ac:dyDescent="0.2">
      <c r="A57" s="3" t="s">
        <v>129</v>
      </c>
      <c r="B57" s="2" t="s">
        <v>84</v>
      </c>
      <c r="C57" s="10" t="s">
        <v>65</v>
      </c>
      <c r="D57" s="5">
        <v>300</v>
      </c>
      <c r="E57" s="1"/>
    </row>
    <row r="58" spans="1:7" ht="17" x14ac:dyDescent="0.2">
      <c r="A58" s="3" t="s">
        <v>130</v>
      </c>
      <c r="B58" s="2" t="s">
        <v>3</v>
      </c>
      <c r="C58" s="10" t="s">
        <v>29</v>
      </c>
      <c r="D58" s="5">
        <v>325</v>
      </c>
      <c r="E58" s="1"/>
    </row>
    <row r="59" spans="1:7" ht="17" x14ac:dyDescent="0.2">
      <c r="A59" s="3" t="s">
        <v>131</v>
      </c>
      <c r="B59" s="2" t="s">
        <v>3</v>
      </c>
      <c r="C59" s="10" t="s">
        <v>17</v>
      </c>
      <c r="D59" s="5">
        <v>326</v>
      </c>
      <c r="E59" s="1" t="s">
        <v>137</v>
      </c>
      <c r="G59" s="1" t="s">
        <v>141</v>
      </c>
    </row>
    <row r="60" spans="1:7" ht="17" x14ac:dyDescent="0.2">
      <c r="A60" s="3" t="s">
        <v>132</v>
      </c>
      <c r="B60" s="2" t="s">
        <v>84</v>
      </c>
      <c r="C60" s="10" t="s">
        <v>62</v>
      </c>
      <c r="D60" s="5">
        <v>377</v>
      </c>
      <c r="E60" s="1"/>
    </row>
    <row r="61" spans="1:7" ht="17" x14ac:dyDescent="0.2">
      <c r="A61" s="3" t="s">
        <v>133</v>
      </c>
      <c r="B61" s="2" t="s">
        <v>3</v>
      </c>
      <c r="C61" s="10" t="s">
        <v>58</v>
      </c>
      <c r="D61" s="5">
        <v>511</v>
      </c>
      <c r="E61" s="1"/>
    </row>
    <row r="63" spans="1:7" x14ac:dyDescent="0.3">
      <c r="D63" s="1">
        <f>MEDIAN(D2:D61)</f>
        <v>71</v>
      </c>
    </row>
    <row r="64" spans="1:7" x14ac:dyDescent="0.3">
      <c r="D64" s="1">
        <f>SUM(D2:D61)</f>
        <v>6408</v>
      </c>
    </row>
  </sheetData>
  <conditionalFormatting sqref="I15:I40">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31F5-26AE-5B40-B7F6-780F0759BC1F}">
  <dimension ref="A1:N79"/>
  <sheetViews>
    <sheetView tabSelected="1" topLeftCell="A43" zoomScale="70" zoomScaleNormal="70" workbookViewId="0">
      <selection activeCell="J57" sqref="J57"/>
    </sheetView>
  </sheetViews>
  <sheetFormatPr baseColWidth="10" defaultColWidth="10.6640625" defaultRowHeight="24" x14ac:dyDescent="0.3"/>
  <cols>
    <col min="11" max="11" width="54" customWidth="1"/>
    <col min="12" max="12" width="17.77734375" customWidth="1"/>
  </cols>
  <sheetData>
    <row r="1" spans="1:14" ht="146" x14ac:dyDescent="0.3">
      <c r="A1" s="51" t="s">
        <v>66</v>
      </c>
      <c r="B1" s="51" t="s">
        <v>174</v>
      </c>
      <c r="C1" s="51" t="s">
        <v>147</v>
      </c>
      <c r="D1" s="52" t="s">
        <v>186</v>
      </c>
      <c r="E1" s="52" t="s">
        <v>187</v>
      </c>
      <c r="F1" s="52" t="s">
        <v>188</v>
      </c>
      <c r="G1" s="8" t="s">
        <v>67</v>
      </c>
      <c r="H1" s="8" t="s">
        <v>68</v>
      </c>
      <c r="I1" s="8" t="s">
        <v>156</v>
      </c>
      <c r="J1" s="8" t="s">
        <v>157</v>
      </c>
      <c r="K1" s="50" t="s">
        <v>182</v>
      </c>
      <c r="L1" s="8" t="s">
        <v>183</v>
      </c>
    </row>
    <row r="2" spans="1:14" x14ac:dyDescent="0.3">
      <c r="A2" t="s">
        <v>70</v>
      </c>
      <c r="B2" t="s">
        <v>1</v>
      </c>
      <c r="C2" t="s">
        <v>8</v>
      </c>
      <c r="D2">
        <v>1</v>
      </c>
      <c r="E2">
        <v>2</v>
      </c>
      <c r="F2">
        <v>2</v>
      </c>
      <c r="L2" t="str">
        <f>VLOOKUP($C2,'sickness data'!$C$2:$E$61,3,FALSE)</f>
        <v>NOTE:these may not have enough info for coding - will be examined later</v>
      </c>
      <c r="M2" t="s">
        <v>190</v>
      </c>
    </row>
    <row r="3" spans="1:14" x14ac:dyDescent="0.3">
      <c r="A3" t="s">
        <v>71</v>
      </c>
      <c r="B3" t="s">
        <v>4</v>
      </c>
      <c r="C3" t="s">
        <v>13</v>
      </c>
      <c r="D3">
        <v>1</v>
      </c>
      <c r="E3">
        <v>14</v>
      </c>
      <c r="F3">
        <v>14</v>
      </c>
      <c r="L3" t="str">
        <f>VLOOKUP(C3,'sickness data'!C$2:E$61,3,FALSE)</f>
        <v>NOTE:these may not have enough info for coding - will be examined later</v>
      </c>
      <c r="M3" t="s">
        <v>190</v>
      </c>
    </row>
    <row r="4" spans="1:14" x14ac:dyDescent="0.3">
      <c r="A4" t="s">
        <v>72</v>
      </c>
      <c r="B4" t="s">
        <v>73</v>
      </c>
      <c r="C4" t="s">
        <v>21</v>
      </c>
      <c r="D4">
        <v>1</v>
      </c>
      <c r="E4">
        <v>19</v>
      </c>
      <c r="F4">
        <v>19</v>
      </c>
      <c r="G4" t="s">
        <v>193</v>
      </c>
      <c r="L4" t="str">
        <f>VLOOKUP(C4,'sickness data'!C$2:E$61,3,FALSE)</f>
        <v>RA LG</v>
      </c>
    </row>
    <row r="5" spans="1:14" x14ac:dyDescent="0.3">
      <c r="A5" t="s">
        <v>74</v>
      </c>
      <c r="B5" t="s">
        <v>3</v>
      </c>
      <c r="C5" t="s">
        <v>32</v>
      </c>
      <c r="D5">
        <v>1</v>
      </c>
      <c r="E5">
        <v>20</v>
      </c>
      <c r="F5">
        <v>20</v>
      </c>
      <c r="G5" t="s">
        <v>176</v>
      </c>
      <c r="I5" t="s">
        <v>184</v>
      </c>
      <c r="L5">
        <f>VLOOKUP(C5,'sickness data'!C$2:E$61,3,FALSE)</f>
        <v>0</v>
      </c>
      <c r="N5" t="str">
        <f>IF(L5=0,IF(I5="",1,""),"")</f>
        <v/>
      </c>
    </row>
    <row r="6" spans="1:14" x14ac:dyDescent="0.3">
      <c r="A6" t="s">
        <v>75</v>
      </c>
      <c r="B6" t="s">
        <v>1</v>
      </c>
      <c r="C6" t="s">
        <v>41</v>
      </c>
      <c r="D6">
        <v>1</v>
      </c>
      <c r="E6">
        <v>28</v>
      </c>
      <c r="F6">
        <v>28</v>
      </c>
      <c r="G6" t="s">
        <v>177</v>
      </c>
      <c r="I6" t="s">
        <v>184</v>
      </c>
      <c r="L6">
        <f>VLOOKUP(C6,'sickness data'!C$2:E$61,3,FALSE)</f>
        <v>0</v>
      </c>
      <c r="N6" t="str">
        <f t="shared" ref="N6:N13" si="0">IF(L6=0,IF(I6="",1,""),"")</f>
        <v/>
      </c>
    </row>
    <row r="7" spans="1:14" x14ac:dyDescent="0.3">
      <c r="A7" t="s">
        <v>77</v>
      </c>
      <c r="B7" t="s">
        <v>2</v>
      </c>
      <c r="C7" t="s">
        <v>48</v>
      </c>
      <c r="D7">
        <v>1</v>
      </c>
      <c r="E7">
        <v>34</v>
      </c>
      <c r="F7">
        <v>34</v>
      </c>
      <c r="G7" t="s">
        <v>192</v>
      </c>
      <c r="L7">
        <f>VLOOKUP(C7,'sickness data'!C$2:E$61,3,FALSE)</f>
        <v>0</v>
      </c>
      <c r="N7">
        <f>IF(L7=0,IF(I7="",1,""),"")</f>
        <v>1</v>
      </c>
    </row>
    <row r="8" spans="1:14" x14ac:dyDescent="0.3">
      <c r="A8" t="s">
        <v>76</v>
      </c>
      <c r="B8" t="s">
        <v>1</v>
      </c>
      <c r="C8" t="s">
        <v>30</v>
      </c>
      <c r="D8">
        <v>1</v>
      </c>
      <c r="E8">
        <v>34</v>
      </c>
      <c r="F8">
        <v>34</v>
      </c>
      <c r="G8" t="s">
        <v>191</v>
      </c>
      <c r="I8" t="s">
        <v>184</v>
      </c>
      <c r="L8">
        <f>VLOOKUP(C8,'sickness data'!C$2:E$61,3,FALSE)</f>
        <v>0</v>
      </c>
      <c r="N8" t="str">
        <f t="shared" si="0"/>
        <v/>
      </c>
    </row>
    <row r="9" spans="1:14" x14ac:dyDescent="0.3">
      <c r="A9" t="s">
        <v>79</v>
      </c>
      <c r="B9" t="s">
        <v>80</v>
      </c>
      <c r="C9" t="s">
        <v>54</v>
      </c>
      <c r="D9">
        <v>1</v>
      </c>
      <c r="E9">
        <v>41</v>
      </c>
      <c r="F9">
        <v>41</v>
      </c>
      <c r="G9" t="s">
        <v>193</v>
      </c>
      <c r="I9" t="s">
        <v>184</v>
      </c>
      <c r="L9">
        <f>VLOOKUP(C9,'sickness data'!C$2:E$61,3,FALSE)</f>
        <v>0</v>
      </c>
      <c r="N9" t="str">
        <f t="shared" si="0"/>
        <v/>
      </c>
    </row>
    <row r="10" spans="1:14" x14ac:dyDescent="0.3">
      <c r="A10" t="s">
        <v>82</v>
      </c>
      <c r="B10" t="s">
        <v>80</v>
      </c>
      <c r="C10" t="s">
        <v>49</v>
      </c>
      <c r="D10">
        <v>1</v>
      </c>
      <c r="E10">
        <v>45</v>
      </c>
      <c r="F10">
        <v>45</v>
      </c>
      <c r="G10" t="s">
        <v>192</v>
      </c>
      <c r="I10" t="s">
        <v>184</v>
      </c>
      <c r="L10">
        <f>VLOOKUP(C10,'sickness data'!C$2:E$61,3,FALSE)</f>
        <v>0</v>
      </c>
      <c r="N10" t="str">
        <f t="shared" si="0"/>
        <v/>
      </c>
    </row>
    <row r="11" spans="1:14" x14ac:dyDescent="0.3">
      <c r="A11" t="s">
        <v>78</v>
      </c>
      <c r="B11" t="s">
        <v>1</v>
      </c>
      <c r="C11" t="s">
        <v>56</v>
      </c>
      <c r="D11">
        <v>1</v>
      </c>
      <c r="E11">
        <v>46</v>
      </c>
      <c r="F11">
        <v>46</v>
      </c>
      <c r="G11" t="s">
        <v>192</v>
      </c>
      <c r="I11" t="s">
        <v>184</v>
      </c>
      <c r="L11">
        <f>VLOOKUP(C11,'sickness data'!C$2:E$61,3,FALSE)</f>
        <v>0</v>
      </c>
      <c r="N11" t="str">
        <f t="shared" si="0"/>
        <v/>
      </c>
    </row>
    <row r="12" spans="1:14" x14ac:dyDescent="0.3">
      <c r="A12" t="s">
        <v>81</v>
      </c>
      <c r="B12" t="s">
        <v>3</v>
      </c>
      <c r="C12" t="s">
        <v>22</v>
      </c>
      <c r="D12">
        <v>1</v>
      </c>
      <c r="E12">
        <v>48</v>
      </c>
      <c r="F12">
        <v>48</v>
      </c>
      <c r="G12" t="s">
        <v>194</v>
      </c>
      <c r="I12" t="s">
        <v>184</v>
      </c>
      <c r="L12">
        <f>VLOOKUP(C12,'sickness data'!C$2:E$61,3,FALSE)</f>
        <v>0</v>
      </c>
      <c r="N12" t="str">
        <f t="shared" si="0"/>
        <v/>
      </c>
    </row>
    <row r="13" spans="1:14" x14ac:dyDescent="0.3">
      <c r="A13" t="s">
        <v>86</v>
      </c>
      <c r="B13" t="s">
        <v>3</v>
      </c>
      <c r="C13" t="s">
        <v>39</v>
      </c>
      <c r="D13">
        <v>1</v>
      </c>
      <c r="E13">
        <v>52</v>
      </c>
      <c r="F13">
        <v>52</v>
      </c>
      <c r="G13" t="s">
        <v>193</v>
      </c>
      <c r="L13" t="str">
        <f>VLOOKUP(C13,'sickness data'!C$2:E$61,3,FALSE)</f>
        <v>RA HL</v>
      </c>
      <c r="N13" t="str">
        <f t="shared" si="0"/>
        <v/>
      </c>
    </row>
    <row r="14" spans="1:14" x14ac:dyDescent="0.3">
      <c r="A14" t="s">
        <v>83</v>
      </c>
      <c r="B14" t="s">
        <v>84</v>
      </c>
      <c r="C14" t="s">
        <v>47</v>
      </c>
      <c r="D14">
        <v>1</v>
      </c>
      <c r="E14">
        <v>55</v>
      </c>
      <c r="F14">
        <v>55</v>
      </c>
      <c r="G14" t="s">
        <v>191</v>
      </c>
      <c r="L14">
        <f>VLOOKUP(C14,'sickness data'!C$2:E$61,3,FALSE)</f>
        <v>0</v>
      </c>
      <c r="N14">
        <f>IF(OR(L14=0,M14="Unfinished"),IF(I14="",1,""),"")</f>
        <v>1</v>
      </c>
    </row>
    <row r="15" spans="1:14" x14ac:dyDescent="0.3">
      <c r="A15" t="s">
        <v>85</v>
      </c>
      <c r="B15" t="s">
        <v>2</v>
      </c>
      <c r="C15" t="s">
        <v>16</v>
      </c>
      <c r="D15">
        <v>1</v>
      </c>
      <c r="E15">
        <v>56</v>
      </c>
      <c r="F15">
        <v>56</v>
      </c>
      <c r="G15" t="s">
        <v>192</v>
      </c>
      <c r="L15" t="str">
        <f>VLOOKUP(C15,'sickness data'!C$2:E$61,3,FALSE)</f>
        <v>RA HL</v>
      </c>
      <c r="N15" t="str">
        <f t="shared" ref="N15:N76" si="1">IF(OR(L15=0,M15="Unfinished"),IF(I15="",1,""),"")</f>
        <v/>
      </c>
    </row>
    <row r="16" spans="1:14" x14ac:dyDescent="0.3">
      <c r="A16" t="s">
        <v>87</v>
      </c>
      <c r="B16" t="s">
        <v>84</v>
      </c>
      <c r="C16" t="s">
        <v>27</v>
      </c>
      <c r="D16">
        <v>1</v>
      </c>
      <c r="E16">
        <v>62</v>
      </c>
      <c r="F16">
        <v>62</v>
      </c>
      <c r="G16" t="s">
        <v>192</v>
      </c>
      <c r="L16" t="str">
        <f>VLOOKUP(C16,'sickness data'!C$2:E$61,3,FALSE)</f>
        <v>RA LG</v>
      </c>
      <c r="N16" t="str">
        <f t="shared" si="1"/>
        <v/>
      </c>
    </row>
    <row r="17" spans="1:14" x14ac:dyDescent="0.3">
      <c r="A17" t="s">
        <v>92</v>
      </c>
      <c r="B17" t="s">
        <v>80</v>
      </c>
      <c r="C17" t="s">
        <v>37</v>
      </c>
      <c r="D17">
        <v>1</v>
      </c>
      <c r="E17">
        <v>65</v>
      </c>
      <c r="F17">
        <v>65</v>
      </c>
      <c r="G17" t="s">
        <v>177</v>
      </c>
      <c r="L17" t="str">
        <f>VLOOKUP(C17,'sickness data'!C$2:E$61,3,FALSE)</f>
        <v>RA AH</v>
      </c>
      <c r="M17" t="s">
        <v>185</v>
      </c>
      <c r="N17">
        <f t="shared" si="1"/>
        <v>1</v>
      </c>
    </row>
    <row r="18" spans="1:14" x14ac:dyDescent="0.3">
      <c r="A18" t="s">
        <v>88</v>
      </c>
      <c r="B18" t="s">
        <v>1</v>
      </c>
      <c r="C18" t="s">
        <v>10</v>
      </c>
      <c r="D18">
        <v>1</v>
      </c>
      <c r="E18">
        <v>65</v>
      </c>
      <c r="F18">
        <v>65</v>
      </c>
      <c r="G18" t="s">
        <v>191</v>
      </c>
      <c r="I18" t="s">
        <v>184</v>
      </c>
      <c r="L18">
        <f>VLOOKUP(C18,'sickness data'!C$2:E$61,3,FALSE)</f>
        <v>0</v>
      </c>
      <c r="N18" t="str">
        <f t="shared" si="1"/>
        <v/>
      </c>
    </row>
    <row r="19" spans="1:14" x14ac:dyDescent="0.3">
      <c r="A19" t="s">
        <v>96</v>
      </c>
      <c r="B19" t="s">
        <v>80</v>
      </c>
      <c r="C19" t="s">
        <v>33</v>
      </c>
      <c r="D19">
        <v>1</v>
      </c>
      <c r="E19">
        <v>73</v>
      </c>
      <c r="F19">
        <v>73</v>
      </c>
      <c r="G19" t="s">
        <v>176</v>
      </c>
      <c r="L19" t="str">
        <f>VLOOKUP(C19,'sickness data'!C$2:E$61,3,FALSE)</f>
        <v>RA LG</v>
      </c>
      <c r="M19" s="1"/>
      <c r="N19" t="str">
        <f t="shared" si="1"/>
        <v/>
      </c>
    </row>
    <row r="20" spans="1:14" x14ac:dyDescent="0.3">
      <c r="A20" t="s">
        <v>90</v>
      </c>
      <c r="B20" t="s">
        <v>1</v>
      </c>
      <c r="C20" t="s">
        <v>6</v>
      </c>
      <c r="D20">
        <v>1</v>
      </c>
      <c r="E20">
        <v>74</v>
      </c>
      <c r="F20">
        <v>74</v>
      </c>
      <c r="L20" t="str">
        <f>VLOOKUP(C20,'sickness data'!C$2:E$61,3,FALSE)</f>
        <v>RA HL</v>
      </c>
      <c r="M20" s="1"/>
      <c r="N20" t="str">
        <f t="shared" si="1"/>
        <v/>
      </c>
    </row>
    <row r="21" spans="1:14" x14ac:dyDescent="0.3">
      <c r="A21" t="s">
        <v>89</v>
      </c>
      <c r="B21" t="s">
        <v>2</v>
      </c>
      <c r="C21" t="s">
        <v>28</v>
      </c>
      <c r="D21">
        <v>1</v>
      </c>
      <c r="E21">
        <v>77</v>
      </c>
      <c r="F21">
        <v>77</v>
      </c>
      <c r="L21" t="str">
        <f>VLOOKUP(C21,'sickness data'!C$2:E$61,3,FALSE)</f>
        <v>RA YM</v>
      </c>
      <c r="M21" s="1"/>
      <c r="N21" t="str">
        <f t="shared" si="1"/>
        <v/>
      </c>
    </row>
    <row r="22" spans="1:14" x14ac:dyDescent="0.3">
      <c r="A22" t="s">
        <v>91</v>
      </c>
      <c r="B22" t="s">
        <v>80</v>
      </c>
      <c r="C22" t="s">
        <v>60</v>
      </c>
      <c r="D22">
        <v>1</v>
      </c>
      <c r="E22">
        <v>79</v>
      </c>
      <c r="F22">
        <v>79</v>
      </c>
      <c r="G22" t="s">
        <v>193</v>
      </c>
      <c r="I22" t="s">
        <v>184</v>
      </c>
      <c r="L22">
        <f>VLOOKUP(C22,'sickness data'!C$2:E$61,3,FALSE)</f>
        <v>0</v>
      </c>
      <c r="M22" s="1"/>
      <c r="N22" t="str">
        <f t="shared" si="1"/>
        <v/>
      </c>
    </row>
    <row r="23" spans="1:14" x14ac:dyDescent="0.3">
      <c r="A23" t="s">
        <v>93</v>
      </c>
      <c r="B23" t="s">
        <v>84</v>
      </c>
      <c r="C23" t="s">
        <v>40</v>
      </c>
      <c r="D23">
        <v>1</v>
      </c>
      <c r="E23">
        <v>84</v>
      </c>
      <c r="F23">
        <v>84</v>
      </c>
      <c r="L23" t="str">
        <f>VLOOKUP(C23,'sickness data'!C$2:E$61,3,FALSE)</f>
        <v>RA LG</v>
      </c>
      <c r="M23" s="1"/>
      <c r="N23" t="str">
        <f t="shared" si="1"/>
        <v/>
      </c>
    </row>
    <row r="24" spans="1:14" x14ac:dyDescent="0.3">
      <c r="A24" t="s">
        <v>94</v>
      </c>
      <c r="B24" t="s">
        <v>80</v>
      </c>
      <c r="C24" t="s">
        <v>24</v>
      </c>
      <c r="D24">
        <v>1</v>
      </c>
      <c r="E24">
        <v>89</v>
      </c>
      <c r="F24">
        <v>89</v>
      </c>
      <c r="L24" t="str">
        <f>VLOOKUP(C24,'sickness data'!C$2:E$61,3,FALSE)</f>
        <v>RA HL</v>
      </c>
      <c r="M24" s="1"/>
      <c r="N24" t="str">
        <f t="shared" si="1"/>
        <v/>
      </c>
    </row>
    <row r="25" spans="1:14" x14ac:dyDescent="0.3">
      <c r="A25" t="s">
        <v>95</v>
      </c>
      <c r="B25" t="s">
        <v>1</v>
      </c>
      <c r="C25" t="s">
        <v>57</v>
      </c>
      <c r="D25">
        <v>1</v>
      </c>
      <c r="E25">
        <v>98</v>
      </c>
      <c r="F25">
        <v>98</v>
      </c>
      <c r="L25" t="str">
        <f>VLOOKUP(C25,'sickness data'!C$2:E$61,3,FALSE)</f>
        <v>RA YM</v>
      </c>
      <c r="M25" s="1"/>
      <c r="N25" t="str">
        <f t="shared" si="1"/>
        <v/>
      </c>
    </row>
    <row r="26" spans="1:14" x14ac:dyDescent="0.3">
      <c r="A26" t="s">
        <v>100</v>
      </c>
      <c r="B26" t="s">
        <v>4</v>
      </c>
      <c r="C26" t="s">
        <v>26</v>
      </c>
      <c r="D26">
        <v>1</v>
      </c>
      <c r="E26">
        <v>101</v>
      </c>
      <c r="F26">
        <v>101</v>
      </c>
      <c r="L26" t="str">
        <f>VLOOKUP(C26,'sickness data'!C$2:E$61,3,FALSE)</f>
        <v>RA AH</v>
      </c>
      <c r="M26" s="1"/>
      <c r="N26" t="str">
        <f t="shared" si="1"/>
        <v/>
      </c>
    </row>
    <row r="27" spans="1:14" x14ac:dyDescent="0.3">
      <c r="A27" t="s">
        <v>97</v>
      </c>
      <c r="B27" t="s">
        <v>80</v>
      </c>
      <c r="C27" t="s">
        <v>14</v>
      </c>
      <c r="D27">
        <v>1</v>
      </c>
      <c r="E27">
        <v>102</v>
      </c>
      <c r="F27">
        <v>102</v>
      </c>
      <c r="G27" t="s">
        <v>192</v>
      </c>
      <c r="I27" t="s">
        <v>184</v>
      </c>
      <c r="L27" t="str">
        <f>VLOOKUP(C27,'sickness data'!C$2:E$61,3,FALSE)</f>
        <v>RA LG</v>
      </c>
      <c r="M27" s="1"/>
      <c r="N27" t="str">
        <f t="shared" si="1"/>
        <v/>
      </c>
    </row>
    <row r="28" spans="1:14" x14ac:dyDescent="0.3">
      <c r="A28" t="s">
        <v>99</v>
      </c>
      <c r="B28" t="s">
        <v>1</v>
      </c>
      <c r="C28" t="s">
        <v>23</v>
      </c>
      <c r="D28">
        <v>1</v>
      </c>
      <c r="E28">
        <v>107</v>
      </c>
      <c r="F28">
        <v>107</v>
      </c>
      <c r="L28" t="str">
        <f>VLOOKUP(C28,'sickness data'!C$2:E$61,3,FALSE)</f>
        <v>RA KY</v>
      </c>
      <c r="M28" s="1"/>
      <c r="N28" t="str">
        <f t="shared" si="1"/>
        <v/>
      </c>
    </row>
    <row r="29" spans="1:14" x14ac:dyDescent="0.3">
      <c r="A29" t="s">
        <v>104</v>
      </c>
      <c r="B29" t="s">
        <v>2</v>
      </c>
      <c r="C29" t="s">
        <v>7</v>
      </c>
      <c r="D29">
        <v>1</v>
      </c>
      <c r="E29">
        <v>117</v>
      </c>
      <c r="F29">
        <v>117</v>
      </c>
      <c r="L29" t="str">
        <f>VLOOKUP(C29,'sickness data'!C$2:E$61,3,FALSE)</f>
        <v>RA YM</v>
      </c>
      <c r="M29" s="1"/>
      <c r="N29" t="str">
        <f t="shared" si="1"/>
        <v/>
      </c>
    </row>
    <row r="30" spans="1:14" x14ac:dyDescent="0.3">
      <c r="A30" t="s">
        <v>98</v>
      </c>
      <c r="B30" t="s">
        <v>2</v>
      </c>
      <c r="C30" t="s">
        <v>18</v>
      </c>
      <c r="D30">
        <v>1</v>
      </c>
      <c r="E30">
        <v>122</v>
      </c>
      <c r="F30">
        <v>122</v>
      </c>
      <c r="L30" t="str">
        <f>VLOOKUP(C30,'sickness data'!C$2:E$61,3,FALSE)</f>
        <v>RA KK</v>
      </c>
      <c r="M30" s="1"/>
      <c r="N30" t="str">
        <f t="shared" si="1"/>
        <v/>
      </c>
    </row>
    <row r="31" spans="1:14" x14ac:dyDescent="0.3">
      <c r="A31" t="s">
        <v>101</v>
      </c>
      <c r="B31" t="s">
        <v>1</v>
      </c>
      <c r="C31" t="s">
        <v>36</v>
      </c>
      <c r="D31">
        <v>1</v>
      </c>
      <c r="E31">
        <v>123</v>
      </c>
      <c r="F31">
        <v>123</v>
      </c>
      <c r="L31" t="str">
        <f>VLOOKUP(C31,'sickness data'!C$2:E$61,3,FALSE)</f>
        <v>RA HL</v>
      </c>
      <c r="M31" s="1"/>
      <c r="N31" t="str">
        <f t="shared" si="1"/>
        <v/>
      </c>
    </row>
    <row r="32" spans="1:14" x14ac:dyDescent="0.3">
      <c r="A32" t="s">
        <v>102</v>
      </c>
      <c r="B32" t="s">
        <v>80</v>
      </c>
      <c r="C32" t="s">
        <v>20</v>
      </c>
      <c r="D32">
        <v>1</v>
      </c>
      <c r="E32">
        <v>136</v>
      </c>
      <c r="F32">
        <v>136</v>
      </c>
      <c r="L32" t="str">
        <f>VLOOKUP(C32,'sickness data'!C$2:E$61,3,FALSE)</f>
        <v>RA YM</v>
      </c>
      <c r="M32" s="1"/>
      <c r="N32" t="str">
        <f t="shared" si="1"/>
        <v/>
      </c>
    </row>
    <row r="33" spans="1:14" x14ac:dyDescent="0.3">
      <c r="A33" t="s">
        <v>103</v>
      </c>
      <c r="B33" t="s">
        <v>80</v>
      </c>
      <c r="C33" t="s">
        <v>50</v>
      </c>
      <c r="D33">
        <v>1</v>
      </c>
      <c r="E33">
        <v>138</v>
      </c>
      <c r="F33">
        <v>138</v>
      </c>
      <c r="L33" t="str">
        <f>VLOOKUP(C33,'sickness data'!C$2:E$61,3,FALSE)</f>
        <v>RA LG</v>
      </c>
      <c r="M33" s="1"/>
      <c r="N33" t="str">
        <f t="shared" si="1"/>
        <v/>
      </c>
    </row>
    <row r="34" spans="1:14" x14ac:dyDescent="0.3">
      <c r="A34" t="s">
        <v>109</v>
      </c>
      <c r="B34" t="s">
        <v>1</v>
      </c>
      <c r="C34" t="s">
        <v>45</v>
      </c>
      <c r="D34">
        <v>1</v>
      </c>
      <c r="E34">
        <v>143</v>
      </c>
      <c r="F34">
        <v>143</v>
      </c>
      <c r="L34" t="str">
        <f>VLOOKUP(C34,'sickness data'!C$2:E$61,3,FALSE)</f>
        <v>RA KY</v>
      </c>
      <c r="M34" s="1"/>
      <c r="N34" t="str">
        <f t="shared" si="1"/>
        <v/>
      </c>
    </row>
    <row r="35" spans="1:14" x14ac:dyDescent="0.3">
      <c r="A35" t="s">
        <v>106</v>
      </c>
      <c r="B35" t="s">
        <v>84</v>
      </c>
      <c r="C35" t="s">
        <v>52</v>
      </c>
      <c r="D35">
        <v>1</v>
      </c>
      <c r="E35">
        <v>148</v>
      </c>
      <c r="F35">
        <v>148</v>
      </c>
      <c r="L35" t="str">
        <f>VLOOKUP(C35,'sickness data'!C$2:E$61,3,FALSE)</f>
        <v>RA AH</v>
      </c>
      <c r="M35" s="1"/>
      <c r="N35" t="str">
        <f t="shared" si="1"/>
        <v/>
      </c>
    </row>
    <row r="36" spans="1:14" x14ac:dyDescent="0.3">
      <c r="A36" t="s">
        <v>105</v>
      </c>
      <c r="B36" t="s">
        <v>1</v>
      </c>
      <c r="C36" t="s">
        <v>34</v>
      </c>
      <c r="D36">
        <v>1</v>
      </c>
      <c r="E36">
        <v>149</v>
      </c>
      <c r="F36">
        <v>149</v>
      </c>
      <c r="G36" t="s">
        <v>191</v>
      </c>
      <c r="L36" t="str">
        <f>VLOOKUP(C36,'sickness data'!C$2:E$61,3,FALSE)</f>
        <v>RA KY</v>
      </c>
      <c r="M36" s="1"/>
      <c r="N36" t="str">
        <f t="shared" si="1"/>
        <v/>
      </c>
    </row>
    <row r="37" spans="1:14" x14ac:dyDescent="0.3">
      <c r="A37" t="s">
        <v>107</v>
      </c>
      <c r="B37" t="s">
        <v>108</v>
      </c>
      <c r="C37" t="s">
        <v>9</v>
      </c>
      <c r="D37">
        <v>1</v>
      </c>
      <c r="E37">
        <v>151</v>
      </c>
      <c r="F37">
        <v>151</v>
      </c>
      <c r="L37" t="str">
        <f>VLOOKUP(C37,'sickness data'!C$2:E$61,3,FALSE)</f>
        <v>RA KK</v>
      </c>
      <c r="M37" s="1"/>
      <c r="N37" t="str">
        <f t="shared" si="1"/>
        <v/>
      </c>
    </row>
    <row r="38" spans="1:14" x14ac:dyDescent="0.3">
      <c r="A38" t="s">
        <v>111</v>
      </c>
      <c r="B38" t="s">
        <v>3</v>
      </c>
      <c r="C38" t="s">
        <v>44</v>
      </c>
      <c r="D38">
        <v>1</v>
      </c>
      <c r="E38">
        <v>167</v>
      </c>
      <c r="F38">
        <v>167</v>
      </c>
      <c r="G38" t="s">
        <v>191</v>
      </c>
      <c r="L38" t="str">
        <f>VLOOKUP(C38,'sickness data'!C$2:E$61,3,FALSE)</f>
        <v>RA LG</v>
      </c>
      <c r="M38" s="1"/>
      <c r="N38" t="str">
        <f t="shared" si="1"/>
        <v/>
      </c>
    </row>
    <row r="39" spans="1:14" x14ac:dyDescent="0.3">
      <c r="A39" t="s">
        <v>120</v>
      </c>
      <c r="B39" t="s">
        <v>108</v>
      </c>
      <c r="C39" t="s">
        <v>35</v>
      </c>
      <c r="D39">
        <v>1</v>
      </c>
      <c r="E39">
        <v>171</v>
      </c>
      <c r="F39">
        <v>171</v>
      </c>
      <c r="G39" t="s">
        <v>178</v>
      </c>
      <c r="I39" t="s">
        <v>184</v>
      </c>
      <c r="L39">
        <f>VLOOKUP(C39,'sickness data'!C$2:E$61,3,FALSE)</f>
        <v>0</v>
      </c>
      <c r="M39" s="1"/>
      <c r="N39" t="str">
        <f t="shared" si="1"/>
        <v/>
      </c>
    </row>
    <row r="40" spans="1:14" x14ac:dyDescent="0.3">
      <c r="A40" t="s">
        <v>110</v>
      </c>
      <c r="B40" t="s">
        <v>3</v>
      </c>
      <c r="C40" t="s">
        <v>11</v>
      </c>
      <c r="D40">
        <v>1</v>
      </c>
      <c r="E40">
        <v>176</v>
      </c>
      <c r="F40">
        <v>176</v>
      </c>
      <c r="L40" t="str">
        <f>VLOOKUP(C40,'sickness data'!C$2:E$61,3,FALSE)</f>
        <v>RA YM</v>
      </c>
      <c r="N40" t="str">
        <f t="shared" si="1"/>
        <v/>
      </c>
    </row>
    <row r="41" spans="1:14" x14ac:dyDescent="0.3">
      <c r="A41" t="s">
        <v>112</v>
      </c>
      <c r="B41" t="s">
        <v>80</v>
      </c>
      <c r="C41" t="s">
        <v>12</v>
      </c>
      <c r="D41">
        <v>1</v>
      </c>
      <c r="E41">
        <v>186</v>
      </c>
      <c r="F41">
        <v>186</v>
      </c>
      <c r="L41" t="str">
        <f>VLOOKUP(C41,'sickness data'!C$2:E$61,3,FALSE)</f>
        <v>RA HL</v>
      </c>
      <c r="N41" t="str">
        <f t="shared" si="1"/>
        <v/>
      </c>
    </row>
    <row r="42" spans="1:14" x14ac:dyDescent="0.3">
      <c r="A42" t="s">
        <v>113</v>
      </c>
      <c r="B42" t="s">
        <v>3</v>
      </c>
      <c r="C42" t="s">
        <v>15</v>
      </c>
      <c r="D42">
        <v>1</v>
      </c>
      <c r="E42">
        <v>189</v>
      </c>
      <c r="F42">
        <v>189</v>
      </c>
      <c r="G42" t="s">
        <v>194</v>
      </c>
      <c r="I42" t="s">
        <v>184</v>
      </c>
      <c r="L42" t="str">
        <f>VLOOKUP(C42,'sickness data'!C$2:E$61,3,FALSE)</f>
        <v>RA KY</v>
      </c>
      <c r="M42" t="s">
        <v>185</v>
      </c>
      <c r="N42" t="str">
        <f t="shared" si="1"/>
        <v/>
      </c>
    </row>
    <row r="43" spans="1:14" x14ac:dyDescent="0.3">
      <c r="A43" t="s">
        <v>118</v>
      </c>
      <c r="B43" t="s">
        <v>3</v>
      </c>
      <c r="C43" t="s">
        <v>53</v>
      </c>
      <c r="D43">
        <v>1</v>
      </c>
      <c r="E43">
        <v>196</v>
      </c>
      <c r="F43">
        <v>196</v>
      </c>
      <c r="G43" t="s">
        <v>191</v>
      </c>
      <c r="I43" t="s">
        <v>184</v>
      </c>
      <c r="L43">
        <f>VLOOKUP(C43,'sickness data'!C$2:E$61,3,FALSE)</f>
        <v>0</v>
      </c>
      <c r="N43" t="str">
        <f t="shared" si="1"/>
        <v/>
      </c>
    </row>
    <row r="44" spans="1:14" x14ac:dyDescent="0.3">
      <c r="A44" t="s">
        <v>114</v>
      </c>
      <c r="B44" t="s">
        <v>3</v>
      </c>
      <c r="C44" t="s">
        <v>46</v>
      </c>
      <c r="D44">
        <v>1</v>
      </c>
      <c r="E44">
        <v>204</v>
      </c>
      <c r="F44">
        <v>204</v>
      </c>
      <c r="G44" t="s">
        <v>137</v>
      </c>
      <c r="I44" t="s">
        <v>184</v>
      </c>
      <c r="L44">
        <f>VLOOKUP(C44,'sickness data'!C$2:E$61,3,FALSE)</f>
        <v>0</v>
      </c>
      <c r="N44" t="str">
        <f t="shared" si="1"/>
        <v/>
      </c>
    </row>
    <row r="45" spans="1:14" x14ac:dyDescent="0.3">
      <c r="A45" t="s">
        <v>115</v>
      </c>
      <c r="B45" t="s">
        <v>84</v>
      </c>
      <c r="C45" t="s">
        <v>31</v>
      </c>
      <c r="D45">
        <v>1</v>
      </c>
      <c r="E45">
        <v>221</v>
      </c>
      <c r="F45">
        <v>221</v>
      </c>
      <c r="G45" t="s">
        <v>175</v>
      </c>
      <c r="I45" t="s">
        <v>184</v>
      </c>
      <c r="L45">
        <f>VLOOKUP(C45,'sickness data'!C$2:E$61,3,FALSE)</f>
        <v>0</v>
      </c>
      <c r="N45" t="str">
        <f t="shared" si="1"/>
        <v/>
      </c>
    </row>
    <row r="46" spans="1:14" x14ac:dyDescent="0.3">
      <c r="A46" t="s">
        <v>116</v>
      </c>
      <c r="B46" t="s">
        <v>1</v>
      </c>
      <c r="C46" t="s">
        <v>51</v>
      </c>
      <c r="D46">
        <v>1</v>
      </c>
      <c r="E46">
        <v>227</v>
      </c>
      <c r="F46">
        <v>227</v>
      </c>
      <c r="G46" t="s">
        <v>176</v>
      </c>
      <c r="I46" t="s">
        <v>184</v>
      </c>
      <c r="L46">
        <f>VLOOKUP(C46,'sickness data'!C$2:E$61,3,FALSE)</f>
        <v>0</v>
      </c>
      <c r="N46" t="str">
        <f t="shared" si="1"/>
        <v/>
      </c>
    </row>
    <row r="47" spans="1:14" x14ac:dyDescent="0.3">
      <c r="A47" t="s">
        <v>119</v>
      </c>
      <c r="B47" t="s">
        <v>1</v>
      </c>
      <c r="C47" t="s">
        <v>63</v>
      </c>
      <c r="D47">
        <v>1</v>
      </c>
      <c r="E47">
        <v>232</v>
      </c>
      <c r="F47">
        <v>41</v>
      </c>
      <c r="G47" t="s">
        <v>136</v>
      </c>
      <c r="I47" t="s">
        <v>196</v>
      </c>
      <c r="L47">
        <f>VLOOKUP(C47,'sickness data'!C$2:E$61,3,FALSE)</f>
        <v>0</v>
      </c>
      <c r="N47" t="str">
        <f t="shared" si="1"/>
        <v/>
      </c>
    </row>
    <row r="48" spans="1:14" x14ac:dyDescent="0.3">
      <c r="A48" t="s">
        <v>197</v>
      </c>
      <c r="B48" t="s">
        <v>1</v>
      </c>
      <c r="C48" t="s">
        <v>63</v>
      </c>
      <c r="D48">
        <v>2</v>
      </c>
      <c r="E48">
        <v>232</v>
      </c>
      <c r="F48">
        <v>191</v>
      </c>
      <c r="G48" t="s">
        <v>194</v>
      </c>
      <c r="I48" t="s">
        <v>184</v>
      </c>
      <c r="L48">
        <f>VLOOKUP(C48,'sickness data'!C$2:E$61,3,FALSE)</f>
        <v>0</v>
      </c>
      <c r="N48" t="str">
        <f t="shared" si="1"/>
        <v/>
      </c>
    </row>
    <row r="49" spans="1:14" x14ac:dyDescent="0.3">
      <c r="A49" t="s">
        <v>117</v>
      </c>
      <c r="B49" t="s">
        <v>1</v>
      </c>
      <c r="C49" t="s">
        <v>61</v>
      </c>
      <c r="D49">
        <v>1</v>
      </c>
      <c r="E49">
        <v>233</v>
      </c>
      <c r="F49">
        <v>233</v>
      </c>
      <c r="G49" t="s">
        <v>177</v>
      </c>
      <c r="I49" t="s">
        <v>184</v>
      </c>
      <c r="L49">
        <f>VLOOKUP(C49,'sickness data'!C$2:E$61,3,FALSE)</f>
        <v>0</v>
      </c>
      <c r="N49" t="str">
        <f t="shared" si="1"/>
        <v/>
      </c>
    </row>
    <row r="50" spans="1:14" x14ac:dyDescent="0.3">
      <c r="A50" t="s">
        <v>123</v>
      </c>
      <c r="B50" t="s">
        <v>3</v>
      </c>
      <c r="C50" t="s">
        <v>19</v>
      </c>
      <c r="D50">
        <v>1</v>
      </c>
      <c r="E50">
        <v>241</v>
      </c>
      <c r="F50">
        <v>241</v>
      </c>
      <c r="L50" t="str">
        <f>VLOOKUP(C50,'sickness data'!C$2:E$61,3,FALSE)</f>
        <v>RA YM</v>
      </c>
      <c r="N50" t="str">
        <f t="shared" si="1"/>
        <v/>
      </c>
    </row>
    <row r="51" spans="1:14" x14ac:dyDescent="0.3">
      <c r="A51" t="s">
        <v>121</v>
      </c>
      <c r="B51" t="s">
        <v>4</v>
      </c>
      <c r="C51" t="s">
        <v>38</v>
      </c>
      <c r="D51">
        <v>1</v>
      </c>
      <c r="E51">
        <v>313</v>
      </c>
      <c r="F51">
        <v>180</v>
      </c>
      <c r="G51" t="s">
        <v>137</v>
      </c>
      <c r="I51" t="s">
        <v>196</v>
      </c>
      <c r="L51">
        <f>VLOOKUP(C51,'sickness data'!C$2:E$61,3,FALSE)</f>
        <v>0</v>
      </c>
      <c r="N51" t="str">
        <f t="shared" si="1"/>
        <v/>
      </c>
    </row>
    <row r="52" spans="1:14" x14ac:dyDescent="0.3">
      <c r="A52" t="s">
        <v>195</v>
      </c>
      <c r="B52" t="s">
        <v>4</v>
      </c>
      <c r="C52" t="s">
        <v>38</v>
      </c>
      <c r="D52">
        <v>2</v>
      </c>
      <c r="E52">
        <v>313</v>
      </c>
      <c r="F52">
        <v>153</v>
      </c>
      <c r="G52" t="s">
        <v>191</v>
      </c>
      <c r="I52" t="s">
        <v>184</v>
      </c>
      <c r="L52">
        <f>VLOOKUP(C52,'sickness data'!C$2:E$61,3,FALSE)</f>
        <v>0</v>
      </c>
      <c r="N52" t="str">
        <f t="shared" si="1"/>
        <v/>
      </c>
    </row>
    <row r="53" spans="1:14" x14ac:dyDescent="0.3">
      <c r="A53" t="s">
        <v>122</v>
      </c>
      <c r="B53" t="s">
        <v>1</v>
      </c>
      <c r="C53" t="s">
        <v>42</v>
      </c>
      <c r="D53">
        <v>1</v>
      </c>
      <c r="E53">
        <v>340</v>
      </c>
      <c r="F53">
        <v>340</v>
      </c>
      <c r="G53" t="s">
        <v>179</v>
      </c>
      <c r="I53" t="s">
        <v>184</v>
      </c>
      <c r="L53">
        <f>VLOOKUP(C53,'sickness data'!C$2:E$61,3,FALSE)</f>
        <v>0</v>
      </c>
      <c r="N53" t="str">
        <f t="shared" si="1"/>
        <v/>
      </c>
    </row>
    <row r="54" spans="1:14" x14ac:dyDescent="0.3">
      <c r="A54" t="s">
        <v>128</v>
      </c>
      <c r="B54" t="s">
        <v>108</v>
      </c>
      <c r="C54" t="s">
        <v>55</v>
      </c>
      <c r="D54">
        <v>1</v>
      </c>
      <c r="E54">
        <v>381</v>
      </c>
      <c r="F54">
        <v>381</v>
      </c>
      <c r="G54" t="s">
        <v>177</v>
      </c>
      <c r="I54" t="s">
        <v>184</v>
      </c>
      <c r="L54">
        <f>VLOOKUP(C54,'sickness data'!C$2:E$61,3,FALSE)</f>
        <v>0</v>
      </c>
      <c r="N54" t="str">
        <f t="shared" si="1"/>
        <v/>
      </c>
    </row>
    <row r="55" spans="1:14" x14ac:dyDescent="0.3">
      <c r="A55" t="s">
        <v>124</v>
      </c>
      <c r="B55" t="s">
        <v>3</v>
      </c>
      <c r="C55" t="s">
        <v>64</v>
      </c>
      <c r="D55">
        <v>1</v>
      </c>
      <c r="E55">
        <v>405</v>
      </c>
      <c r="F55">
        <v>203</v>
      </c>
      <c r="G55" t="s">
        <v>180</v>
      </c>
      <c r="I55" t="s">
        <v>184</v>
      </c>
      <c r="L55">
        <f>VLOOKUP(C55,'sickness data'!C$2:E$61,3,FALSE)</f>
        <v>0</v>
      </c>
      <c r="N55" t="str">
        <f t="shared" si="1"/>
        <v/>
      </c>
    </row>
    <row r="56" spans="1:14" x14ac:dyDescent="0.3">
      <c r="A56" t="s">
        <v>124</v>
      </c>
      <c r="B56" t="s">
        <v>3</v>
      </c>
      <c r="C56" t="s">
        <v>64</v>
      </c>
      <c r="D56">
        <v>2</v>
      </c>
      <c r="E56">
        <v>405</v>
      </c>
      <c r="F56">
        <v>202</v>
      </c>
      <c r="G56" t="s">
        <v>180</v>
      </c>
      <c r="I56" t="s">
        <v>184</v>
      </c>
      <c r="L56">
        <f>VLOOKUP(C56,'sickness data'!C$2:E$61,3,FALSE)</f>
        <v>0</v>
      </c>
      <c r="N56" t="str">
        <f t="shared" si="1"/>
        <v/>
      </c>
    </row>
    <row r="57" spans="1:14" ht="22.5" customHeight="1" x14ac:dyDescent="0.3">
      <c r="A57" t="s">
        <v>125</v>
      </c>
      <c r="B57" t="s">
        <v>84</v>
      </c>
      <c r="C57" t="s">
        <v>25</v>
      </c>
      <c r="D57">
        <v>1</v>
      </c>
      <c r="E57">
        <v>457</v>
      </c>
      <c r="F57">
        <v>229</v>
      </c>
      <c r="G57" t="s">
        <v>175</v>
      </c>
      <c r="I57" t="s">
        <v>184</v>
      </c>
      <c r="L57">
        <f>VLOOKUP(C57,'sickness data'!C$2:E$61,3,FALSE)</f>
        <v>0</v>
      </c>
      <c r="N57" t="str">
        <f t="shared" si="1"/>
        <v/>
      </c>
    </row>
    <row r="58" spans="1:14" ht="22.5" customHeight="1" x14ac:dyDescent="0.3">
      <c r="A58" t="s">
        <v>125</v>
      </c>
      <c r="B58" t="s">
        <v>84</v>
      </c>
      <c r="C58" t="s">
        <v>25</v>
      </c>
      <c r="D58">
        <v>2</v>
      </c>
      <c r="E58">
        <v>457</v>
      </c>
      <c r="F58">
        <v>228</v>
      </c>
      <c r="G58" t="s">
        <v>175</v>
      </c>
      <c r="I58" t="s">
        <v>184</v>
      </c>
      <c r="L58">
        <f>VLOOKUP(C58,'sickness data'!C$2:E$61,3,FALSE)</f>
        <v>0</v>
      </c>
      <c r="N58" t="str">
        <f t="shared" si="1"/>
        <v/>
      </c>
    </row>
    <row r="59" spans="1:14" x14ac:dyDescent="0.3">
      <c r="A59" t="s">
        <v>126</v>
      </c>
      <c r="B59" t="s">
        <v>2</v>
      </c>
      <c r="C59" t="s">
        <v>59</v>
      </c>
      <c r="D59">
        <v>1</v>
      </c>
      <c r="E59">
        <v>485</v>
      </c>
      <c r="F59">
        <v>243</v>
      </c>
      <c r="G59" t="s">
        <v>178</v>
      </c>
      <c r="I59" t="s">
        <v>184</v>
      </c>
      <c r="L59">
        <f>VLOOKUP(C59,'sickness data'!C$2:E$61,3,FALSE)</f>
        <v>0</v>
      </c>
      <c r="N59" t="str">
        <f t="shared" si="1"/>
        <v/>
      </c>
    </row>
    <row r="60" spans="1:14" x14ac:dyDescent="0.3">
      <c r="A60" t="s">
        <v>126</v>
      </c>
      <c r="B60" t="s">
        <v>2</v>
      </c>
      <c r="C60" t="s">
        <v>59</v>
      </c>
      <c r="D60">
        <v>2</v>
      </c>
      <c r="E60">
        <v>485</v>
      </c>
      <c r="F60">
        <v>242</v>
      </c>
      <c r="G60" t="s">
        <v>178</v>
      </c>
      <c r="I60" t="s">
        <v>184</v>
      </c>
      <c r="L60">
        <f>VLOOKUP(C60,'sickness data'!C$2:E$61,3,FALSE)</f>
        <v>0</v>
      </c>
      <c r="N60" t="str">
        <f t="shared" si="1"/>
        <v/>
      </c>
    </row>
    <row r="61" spans="1:14" x14ac:dyDescent="0.3">
      <c r="A61" t="s">
        <v>127</v>
      </c>
      <c r="B61" t="s">
        <v>1</v>
      </c>
      <c r="C61" t="s">
        <v>43</v>
      </c>
      <c r="D61">
        <v>1</v>
      </c>
      <c r="E61">
        <v>509</v>
      </c>
      <c r="F61">
        <v>128</v>
      </c>
      <c r="G61" t="s">
        <v>179</v>
      </c>
      <c r="I61" t="s">
        <v>196</v>
      </c>
      <c r="L61">
        <f>VLOOKUP(C61,'sickness data'!C$2:E$61,3,FALSE)</f>
        <v>0</v>
      </c>
      <c r="N61" t="str">
        <f t="shared" si="1"/>
        <v/>
      </c>
    </row>
    <row r="62" spans="1:14" x14ac:dyDescent="0.3">
      <c r="A62" t="s">
        <v>199</v>
      </c>
      <c r="B62" t="s">
        <v>1</v>
      </c>
      <c r="C62" t="s">
        <v>43</v>
      </c>
      <c r="D62">
        <v>2</v>
      </c>
      <c r="E62">
        <v>509</v>
      </c>
      <c r="F62">
        <v>127</v>
      </c>
      <c r="G62" t="s">
        <v>175</v>
      </c>
      <c r="I62" t="s">
        <v>184</v>
      </c>
      <c r="L62">
        <f>VLOOKUP(C62,'sickness data'!C$2:E$61,3,FALSE)</f>
        <v>0</v>
      </c>
      <c r="N62" t="str">
        <f t="shared" si="1"/>
        <v/>
      </c>
    </row>
    <row r="63" spans="1:14" x14ac:dyDescent="0.3">
      <c r="A63" t="s">
        <v>127</v>
      </c>
      <c r="B63" t="s">
        <v>1</v>
      </c>
      <c r="C63" t="s">
        <v>43</v>
      </c>
      <c r="D63">
        <v>3</v>
      </c>
      <c r="E63">
        <v>509</v>
      </c>
      <c r="F63">
        <v>11</v>
      </c>
      <c r="G63" t="s">
        <v>198</v>
      </c>
      <c r="I63" t="s">
        <v>196</v>
      </c>
      <c r="L63">
        <f>VLOOKUP(C63,'sickness data'!C$2:E$61,3,FALSE)</f>
        <v>0</v>
      </c>
      <c r="N63" t="str">
        <f t="shared" si="1"/>
        <v/>
      </c>
    </row>
    <row r="64" spans="1:14" x14ac:dyDescent="0.3">
      <c r="A64" t="s">
        <v>199</v>
      </c>
      <c r="B64" t="s">
        <v>1</v>
      </c>
      <c r="C64" t="s">
        <v>43</v>
      </c>
      <c r="D64">
        <v>4</v>
      </c>
      <c r="E64">
        <v>509</v>
      </c>
      <c r="F64">
        <v>243</v>
      </c>
      <c r="G64" t="s">
        <v>194</v>
      </c>
      <c r="L64">
        <f>VLOOKUP(C64,'sickness data'!C$2:E$61,3,FALSE)</f>
        <v>0</v>
      </c>
      <c r="N64">
        <f t="shared" si="1"/>
        <v>1</v>
      </c>
    </row>
    <row r="65" spans="1:14" x14ac:dyDescent="0.3">
      <c r="A65" t="s">
        <v>129</v>
      </c>
      <c r="B65" t="s">
        <v>84</v>
      </c>
      <c r="C65" t="s">
        <v>65</v>
      </c>
      <c r="D65">
        <v>1</v>
      </c>
      <c r="E65">
        <v>564</v>
      </c>
      <c r="F65">
        <v>282</v>
      </c>
      <c r="G65" t="s">
        <v>175</v>
      </c>
      <c r="I65" t="s">
        <v>184</v>
      </c>
      <c r="L65">
        <f>VLOOKUP(C65,'sickness data'!C$2:E$61,3,FALSE)</f>
        <v>0</v>
      </c>
      <c r="N65" t="str">
        <f t="shared" si="1"/>
        <v/>
      </c>
    </row>
    <row r="66" spans="1:14" x14ac:dyDescent="0.3">
      <c r="A66" t="s">
        <v>129</v>
      </c>
      <c r="B66" t="s">
        <v>84</v>
      </c>
      <c r="C66" t="s">
        <v>65</v>
      </c>
      <c r="D66">
        <v>2</v>
      </c>
      <c r="E66">
        <v>564</v>
      </c>
      <c r="F66">
        <v>282</v>
      </c>
      <c r="G66" t="s">
        <v>175</v>
      </c>
      <c r="I66" t="s">
        <v>184</v>
      </c>
      <c r="L66">
        <f>VLOOKUP(C66,'sickness data'!C$2:E$61,3,FALSE)</f>
        <v>0</v>
      </c>
      <c r="N66" t="str">
        <f t="shared" si="1"/>
        <v/>
      </c>
    </row>
    <row r="67" spans="1:14" x14ac:dyDescent="0.3">
      <c r="A67" t="s">
        <v>131</v>
      </c>
      <c r="B67" t="s">
        <v>3</v>
      </c>
      <c r="C67" t="s">
        <v>17</v>
      </c>
      <c r="D67">
        <v>1</v>
      </c>
      <c r="E67">
        <v>609</v>
      </c>
      <c r="F67">
        <v>305</v>
      </c>
      <c r="G67" t="s">
        <v>177</v>
      </c>
      <c r="I67" t="s">
        <v>184</v>
      </c>
      <c r="L67" t="str">
        <f>VLOOKUP(C67,'sickness data'!C$2:E$61,3,FALSE)</f>
        <v>RA AH</v>
      </c>
      <c r="M67" t="s">
        <v>185</v>
      </c>
      <c r="N67" t="str">
        <f t="shared" si="1"/>
        <v/>
      </c>
    </row>
    <row r="68" spans="1:14" x14ac:dyDescent="0.3">
      <c r="A68" t="s">
        <v>131</v>
      </c>
      <c r="B68" t="s">
        <v>3</v>
      </c>
      <c r="C68" t="s">
        <v>17</v>
      </c>
      <c r="D68">
        <v>2</v>
      </c>
      <c r="E68">
        <v>609</v>
      </c>
      <c r="F68">
        <v>304</v>
      </c>
      <c r="G68" t="s">
        <v>177</v>
      </c>
      <c r="I68" t="s">
        <v>184</v>
      </c>
      <c r="L68" t="str">
        <f>VLOOKUP(C68,'sickness data'!C$2:E$61,3,FALSE)</f>
        <v>RA AH</v>
      </c>
      <c r="M68" t="s">
        <v>185</v>
      </c>
      <c r="N68" t="str">
        <f t="shared" si="1"/>
        <v/>
      </c>
    </row>
    <row r="69" spans="1:14" x14ac:dyDescent="0.3">
      <c r="A69" t="s">
        <v>130</v>
      </c>
      <c r="B69" t="s">
        <v>3</v>
      </c>
      <c r="C69" t="s">
        <v>29</v>
      </c>
      <c r="D69">
        <v>1</v>
      </c>
      <c r="E69">
        <v>630</v>
      </c>
      <c r="F69">
        <v>315</v>
      </c>
      <c r="G69" t="s">
        <v>176</v>
      </c>
      <c r="L69">
        <f>VLOOKUP(C69,'sickness data'!C$2:E$61,3,FALSE)</f>
        <v>0</v>
      </c>
      <c r="N69">
        <f t="shared" si="1"/>
        <v>1</v>
      </c>
    </row>
    <row r="70" spans="1:14" x14ac:dyDescent="0.3">
      <c r="A70" t="s">
        <v>130</v>
      </c>
      <c r="B70" t="s">
        <v>3</v>
      </c>
      <c r="C70" t="s">
        <v>29</v>
      </c>
      <c r="D70">
        <v>2</v>
      </c>
      <c r="E70">
        <v>630</v>
      </c>
      <c r="F70">
        <v>315</v>
      </c>
      <c r="G70" t="s">
        <v>193</v>
      </c>
      <c r="I70" t="s">
        <v>184</v>
      </c>
      <c r="L70">
        <f>VLOOKUP(C70,'sickness data'!C$2:E$61,3,FALSE)</f>
        <v>0</v>
      </c>
      <c r="N70" t="str">
        <f t="shared" si="1"/>
        <v/>
      </c>
    </row>
    <row r="71" spans="1:14" x14ac:dyDescent="0.3">
      <c r="A71" t="s">
        <v>132</v>
      </c>
      <c r="B71" t="s">
        <v>84</v>
      </c>
      <c r="C71" t="s">
        <v>62</v>
      </c>
      <c r="D71">
        <v>1</v>
      </c>
      <c r="E71">
        <v>724</v>
      </c>
      <c r="F71">
        <v>242</v>
      </c>
      <c r="G71" t="s">
        <v>177</v>
      </c>
      <c r="I71" t="s">
        <v>184</v>
      </c>
      <c r="L71">
        <f>VLOOKUP(C71,'sickness data'!C$2:E$61,3,FALSE)</f>
        <v>0</v>
      </c>
      <c r="N71" t="str">
        <f t="shared" si="1"/>
        <v/>
      </c>
    </row>
    <row r="72" spans="1:14" x14ac:dyDescent="0.3">
      <c r="A72" t="s">
        <v>132</v>
      </c>
      <c r="B72" t="s">
        <v>84</v>
      </c>
      <c r="C72" t="s">
        <v>62</v>
      </c>
      <c r="D72">
        <v>2</v>
      </c>
      <c r="E72">
        <v>724</v>
      </c>
      <c r="F72">
        <v>241</v>
      </c>
      <c r="G72" t="s">
        <v>177</v>
      </c>
      <c r="I72" t="s">
        <v>184</v>
      </c>
      <c r="L72">
        <f>VLOOKUP(C72,'sickness data'!C$2:E$61,3,FALSE)</f>
        <v>0</v>
      </c>
      <c r="N72" t="str">
        <f t="shared" si="1"/>
        <v/>
      </c>
    </row>
    <row r="73" spans="1:14" x14ac:dyDescent="0.3">
      <c r="A73" t="s">
        <v>132</v>
      </c>
      <c r="B73" t="s">
        <v>84</v>
      </c>
      <c r="C73" t="s">
        <v>62</v>
      </c>
      <c r="D73">
        <v>3</v>
      </c>
      <c r="E73">
        <v>724</v>
      </c>
      <c r="F73">
        <v>241</v>
      </c>
      <c r="G73" t="s">
        <v>175</v>
      </c>
      <c r="L73">
        <f>VLOOKUP(C73,'sickness data'!C$2:E$61,3,FALSE)</f>
        <v>0</v>
      </c>
      <c r="N73">
        <f t="shared" si="1"/>
        <v>1</v>
      </c>
    </row>
    <row r="74" spans="1:14" x14ac:dyDescent="0.3">
      <c r="A74" t="s">
        <v>133</v>
      </c>
      <c r="B74" t="s">
        <v>3</v>
      </c>
      <c r="C74" t="s">
        <v>58</v>
      </c>
      <c r="D74">
        <v>1</v>
      </c>
      <c r="E74">
        <v>944</v>
      </c>
      <c r="F74">
        <v>315</v>
      </c>
      <c r="G74" t="s">
        <v>192</v>
      </c>
      <c r="I74" t="s">
        <v>184</v>
      </c>
      <c r="L74">
        <f>VLOOKUP(C74,'sickness data'!C$2:E$61,3,FALSE)</f>
        <v>0</v>
      </c>
      <c r="N74" t="str">
        <f t="shared" si="1"/>
        <v/>
      </c>
    </row>
    <row r="75" spans="1:14" x14ac:dyDescent="0.3">
      <c r="A75" t="s">
        <v>133</v>
      </c>
      <c r="B75" t="s">
        <v>3</v>
      </c>
      <c r="C75" t="s">
        <v>58</v>
      </c>
      <c r="D75">
        <v>2</v>
      </c>
      <c r="E75">
        <v>944</v>
      </c>
      <c r="F75">
        <v>315</v>
      </c>
      <c r="G75" t="s">
        <v>192</v>
      </c>
      <c r="I75" t="s">
        <v>184</v>
      </c>
      <c r="L75">
        <f>VLOOKUP(C75,'sickness data'!C$2:E$61,3,FALSE)</f>
        <v>0</v>
      </c>
      <c r="N75" t="str">
        <f t="shared" si="1"/>
        <v/>
      </c>
    </row>
    <row r="76" spans="1:14" x14ac:dyDescent="0.3">
      <c r="A76" t="s">
        <v>133</v>
      </c>
      <c r="B76" t="s">
        <v>3</v>
      </c>
      <c r="C76" t="s">
        <v>58</v>
      </c>
      <c r="D76">
        <v>3</v>
      </c>
      <c r="E76">
        <v>944</v>
      </c>
      <c r="F76">
        <v>314</v>
      </c>
      <c r="G76" t="s">
        <v>192</v>
      </c>
      <c r="I76" t="s">
        <v>184</v>
      </c>
      <c r="L76">
        <f>VLOOKUP(C76,'sickness data'!C$2:E$61,3,FALSE)</f>
        <v>0</v>
      </c>
      <c r="N76" t="str">
        <f t="shared" si="1"/>
        <v/>
      </c>
    </row>
    <row r="78" spans="1:14" x14ac:dyDescent="0.3">
      <c r="E78" t="s">
        <v>189</v>
      </c>
    </row>
    <row r="79" spans="1:14" x14ac:dyDescent="0.3">
      <c r="E79">
        <f>SUMIF(D2:D76,1,E2:E76)</f>
        <v>11601</v>
      </c>
    </row>
  </sheetData>
  <phoneticPr fontId="14" type="noConversion"/>
  <conditionalFormatting sqref="D2:D7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DD24-B385-B145-8E10-D47E2C8D5B05}">
  <dimension ref="A1:S69"/>
  <sheetViews>
    <sheetView topLeftCell="I1" workbookViewId="0">
      <selection activeCell="O73" sqref="O73"/>
    </sheetView>
  </sheetViews>
  <sheetFormatPr baseColWidth="10" defaultColWidth="10.6640625" defaultRowHeight="24" x14ac:dyDescent="0.3"/>
  <cols>
    <col min="1" max="1" width="12.88671875" style="11" customWidth="1"/>
    <col min="2" max="2" width="12.88671875" customWidth="1"/>
    <col min="3" max="3" width="12.88671875" style="18" customWidth="1"/>
    <col min="4" max="6" width="12.88671875" customWidth="1"/>
    <col min="7" max="7" width="13" style="18" customWidth="1"/>
    <col min="8" max="9" width="13" customWidth="1"/>
    <col min="10" max="10" width="10.77734375" style="19"/>
    <col min="12" max="12" width="26.44140625" bestFit="1" customWidth="1"/>
    <col min="15" max="15" width="28" customWidth="1"/>
    <col min="16" max="19" width="19.5546875" customWidth="1"/>
  </cols>
  <sheetData>
    <row r="1" spans="1:11" ht="25" thickBot="1" x14ac:dyDescent="0.35">
      <c r="B1" s="14" t="s">
        <v>153</v>
      </c>
      <c r="C1" s="53" t="s">
        <v>152</v>
      </c>
      <c r="D1" s="54"/>
      <c r="E1" s="54"/>
      <c r="F1" s="55"/>
      <c r="G1" s="53" t="s">
        <v>154</v>
      </c>
      <c r="H1" s="54"/>
      <c r="I1" s="54"/>
      <c r="J1" s="55"/>
    </row>
    <row r="2" spans="1:11" x14ac:dyDescent="0.3">
      <c r="A2" s="12" t="s">
        <v>147</v>
      </c>
      <c r="B2" s="15" t="s">
        <v>148</v>
      </c>
      <c r="C2" s="13" t="s">
        <v>149</v>
      </c>
      <c r="D2" s="13" t="s">
        <v>150</v>
      </c>
      <c r="E2" s="13" t="s">
        <v>151</v>
      </c>
      <c r="F2" s="15" t="s">
        <v>155</v>
      </c>
      <c r="G2" s="16" t="s">
        <v>149</v>
      </c>
      <c r="H2" s="13" t="s">
        <v>150</v>
      </c>
      <c r="I2" s="13" t="s">
        <v>151</v>
      </c>
      <c r="J2" s="17" t="s">
        <v>155</v>
      </c>
    </row>
    <row r="3" spans="1:11" x14ac:dyDescent="0.3">
      <c r="A3" s="49" t="s">
        <v>8</v>
      </c>
      <c r="B3">
        <v>1</v>
      </c>
      <c r="C3">
        <v>20</v>
      </c>
      <c r="D3">
        <v>0.05</v>
      </c>
      <c r="E3">
        <v>3</v>
      </c>
      <c r="F3">
        <f>IF(OR(D3&lt;0.4, D3&gt;0.6),IF(OR(D3&lt;0.3, D3&gt;0.7),0,0.5),1)</f>
        <v>0</v>
      </c>
      <c r="G3">
        <v>26</v>
      </c>
      <c r="H3">
        <v>0.04</v>
      </c>
      <c r="I3">
        <v>3.26</v>
      </c>
      <c r="J3">
        <f>IF(OR(H3&lt;0.4, H3&gt;0.6),IF(OR(H3&lt;0.3, H3&gt;0.7),0,0.5),1)</f>
        <v>0</v>
      </c>
      <c r="K3" s="1" t="s">
        <v>69</v>
      </c>
    </row>
    <row r="4" spans="1:11" x14ac:dyDescent="0.3">
      <c r="A4" s="49" t="s">
        <v>13</v>
      </c>
      <c r="B4">
        <v>7</v>
      </c>
      <c r="C4">
        <v>50</v>
      </c>
      <c r="D4">
        <v>0.12</v>
      </c>
      <c r="E4">
        <v>1.97</v>
      </c>
      <c r="F4">
        <f t="shared" ref="F4:F62" si="0">IF(OR(D4&lt;0.4, D4&gt;0.6),IF(OR(D4&lt;0.3, D4&gt;0.7),0,0.5),1)</f>
        <v>0</v>
      </c>
      <c r="G4">
        <v>86</v>
      </c>
      <c r="H4">
        <v>0.08</v>
      </c>
      <c r="I4">
        <v>2.5099999999999998</v>
      </c>
      <c r="J4">
        <f t="shared" ref="J4:J62" si="1">IF(OR(H4&lt;0.4, H4&gt;0.6),IF(OR(H4&lt;0.3, H4&gt;0.7),0,0.5),1)</f>
        <v>0</v>
      </c>
      <c r="K4" s="1" t="s">
        <v>69</v>
      </c>
    </row>
    <row r="5" spans="1:11" x14ac:dyDescent="0.3">
      <c r="A5" s="49" t="s">
        <v>32</v>
      </c>
      <c r="B5">
        <v>10</v>
      </c>
      <c r="C5">
        <v>18</v>
      </c>
      <c r="D5">
        <v>0.36</v>
      </c>
      <c r="E5">
        <v>0.59</v>
      </c>
      <c r="F5">
        <f t="shared" si="0"/>
        <v>0.5</v>
      </c>
      <c r="G5">
        <v>53</v>
      </c>
      <c r="H5">
        <v>0.16</v>
      </c>
      <c r="I5">
        <v>1.67</v>
      </c>
      <c r="J5">
        <f t="shared" si="1"/>
        <v>0</v>
      </c>
      <c r="K5" s="1" t="s">
        <v>140</v>
      </c>
    </row>
    <row r="6" spans="1:11" x14ac:dyDescent="0.3">
      <c r="A6" s="49" t="s">
        <v>21</v>
      </c>
      <c r="B6">
        <v>10</v>
      </c>
      <c r="C6">
        <v>17</v>
      </c>
      <c r="D6">
        <v>0.37</v>
      </c>
      <c r="E6">
        <v>0.53</v>
      </c>
      <c r="F6">
        <f t="shared" si="0"/>
        <v>0.5</v>
      </c>
      <c r="G6">
        <v>62</v>
      </c>
      <c r="H6">
        <v>0.14000000000000001</v>
      </c>
      <c r="I6">
        <v>1.82</v>
      </c>
      <c r="J6">
        <f t="shared" si="1"/>
        <v>0</v>
      </c>
      <c r="K6" s="1"/>
    </row>
    <row r="7" spans="1:11" x14ac:dyDescent="0.3">
      <c r="A7" s="49" t="s">
        <v>41</v>
      </c>
      <c r="B7">
        <v>14</v>
      </c>
      <c r="C7">
        <v>17</v>
      </c>
      <c r="D7">
        <v>0.45</v>
      </c>
      <c r="E7">
        <v>0.19</v>
      </c>
      <c r="F7">
        <f t="shared" si="0"/>
        <v>1</v>
      </c>
      <c r="G7">
        <v>29</v>
      </c>
      <c r="H7">
        <v>0.33</v>
      </c>
      <c r="I7">
        <v>0.73</v>
      </c>
      <c r="J7">
        <f t="shared" si="1"/>
        <v>0.5</v>
      </c>
      <c r="K7" s="1"/>
    </row>
    <row r="8" spans="1:11" x14ac:dyDescent="0.3">
      <c r="A8" s="49" t="s">
        <v>48</v>
      </c>
      <c r="B8">
        <v>17</v>
      </c>
      <c r="C8">
        <v>90</v>
      </c>
      <c r="D8">
        <v>0.16</v>
      </c>
      <c r="E8">
        <v>1.67</v>
      </c>
      <c r="F8">
        <f t="shared" si="0"/>
        <v>0</v>
      </c>
      <c r="G8">
        <v>92</v>
      </c>
      <c r="H8">
        <v>0.16</v>
      </c>
      <c r="I8">
        <v>1.69</v>
      </c>
      <c r="J8">
        <f t="shared" si="1"/>
        <v>0</v>
      </c>
      <c r="K8" s="1"/>
    </row>
    <row r="9" spans="1:11" x14ac:dyDescent="0.3">
      <c r="A9" s="49" t="s">
        <v>30</v>
      </c>
      <c r="B9">
        <v>17</v>
      </c>
      <c r="C9">
        <v>45</v>
      </c>
      <c r="D9">
        <v>0.27</v>
      </c>
      <c r="E9">
        <v>0.97</v>
      </c>
      <c r="F9">
        <f t="shared" si="0"/>
        <v>0</v>
      </c>
      <c r="G9">
        <v>80</v>
      </c>
      <c r="H9">
        <v>0.18</v>
      </c>
      <c r="I9">
        <v>1.55</v>
      </c>
      <c r="J9">
        <f t="shared" si="1"/>
        <v>0</v>
      </c>
      <c r="K9" s="1"/>
    </row>
    <row r="10" spans="1:11" x14ac:dyDescent="0.3">
      <c r="A10" s="49" t="s">
        <v>54</v>
      </c>
      <c r="B10">
        <v>21</v>
      </c>
      <c r="C10">
        <v>9</v>
      </c>
      <c r="D10">
        <v>0.7</v>
      </c>
      <c r="E10">
        <v>0.85</v>
      </c>
      <c r="F10">
        <f t="shared" si="0"/>
        <v>0.5</v>
      </c>
      <c r="G10">
        <v>22</v>
      </c>
      <c r="H10">
        <v>0.49</v>
      </c>
      <c r="I10">
        <v>0.05</v>
      </c>
      <c r="J10">
        <f t="shared" si="1"/>
        <v>1</v>
      </c>
      <c r="K10" s="1"/>
    </row>
    <row r="11" spans="1:11" x14ac:dyDescent="0.3">
      <c r="A11" s="49" t="s">
        <v>49</v>
      </c>
      <c r="B11">
        <v>23</v>
      </c>
      <c r="C11">
        <v>30</v>
      </c>
      <c r="D11">
        <v>0.43</v>
      </c>
      <c r="E11">
        <v>0.27</v>
      </c>
      <c r="F11">
        <f t="shared" si="0"/>
        <v>1</v>
      </c>
      <c r="G11">
        <v>33</v>
      </c>
      <c r="H11">
        <v>0.41</v>
      </c>
      <c r="I11">
        <v>0.36</v>
      </c>
      <c r="J11">
        <f t="shared" si="1"/>
        <v>1</v>
      </c>
      <c r="K11" s="1"/>
    </row>
    <row r="12" spans="1:11" x14ac:dyDescent="0.3">
      <c r="A12" s="49" t="s">
        <v>56</v>
      </c>
      <c r="B12">
        <v>23</v>
      </c>
      <c r="C12">
        <v>11</v>
      </c>
      <c r="D12">
        <v>0.68</v>
      </c>
      <c r="E12">
        <v>0.74</v>
      </c>
      <c r="F12">
        <f t="shared" si="0"/>
        <v>0.5</v>
      </c>
      <c r="G12">
        <v>25</v>
      </c>
      <c r="H12">
        <v>0.48</v>
      </c>
      <c r="I12">
        <v>0.08</v>
      </c>
      <c r="J12">
        <f t="shared" si="1"/>
        <v>1</v>
      </c>
      <c r="K12" s="1"/>
    </row>
    <row r="13" spans="1:11" x14ac:dyDescent="0.3">
      <c r="A13" s="49" t="s">
        <v>22</v>
      </c>
      <c r="B13">
        <v>24</v>
      </c>
      <c r="C13">
        <v>30</v>
      </c>
      <c r="D13">
        <v>0.44</v>
      </c>
      <c r="E13">
        <v>0.22</v>
      </c>
      <c r="F13">
        <f t="shared" si="0"/>
        <v>1</v>
      </c>
      <c r="G13">
        <v>30</v>
      </c>
      <c r="H13">
        <v>0.44</v>
      </c>
      <c r="I13">
        <v>0.22</v>
      </c>
      <c r="J13">
        <f t="shared" si="1"/>
        <v>1</v>
      </c>
      <c r="K13" s="1"/>
    </row>
    <row r="14" spans="1:11" x14ac:dyDescent="0.3">
      <c r="A14" s="49" t="s">
        <v>39</v>
      </c>
      <c r="B14">
        <v>26</v>
      </c>
      <c r="C14">
        <v>9</v>
      </c>
      <c r="D14">
        <v>0.74</v>
      </c>
      <c r="E14">
        <v>1.06</v>
      </c>
      <c r="F14">
        <f t="shared" si="0"/>
        <v>0</v>
      </c>
      <c r="G14">
        <v>9</v>
      </c>
      <c r="H14">
        <v>0.74</v>
      </c>
      <c r="I14">
        <v>1.06</v>
      </c>
      <c r="J14">
        <f t="shared" si="1"/>
        <v>0</v>
      </c>
      <c r="K14" s="1"/>
    </row>
    <row r="15" spans="1:11" x14ac:dyDescent="0.3">
      <c r="A15" s="49" t="s">
        <v>16</v>
      </c>
      <c r="B15">
        <v>28</v>
      </c>
      <c r="C15">
        <v>129</v>
      </c>
      <c r="D15">
        <v>0.18</v>
      </c>
      <c r="E15">
        <v>1.53</v>
      </c>
      <c r="F15">
        <f t="shared" si="0"/>
        <v>0</v>
      </c>
      <c r="G15">
        <v>141</v>
      </c>
      <c r="H15">
        <v>0.17</v>
      </c>
      <c r="I15">
        <v>1.62</v>
      </c>
      <c r="J15">
        <f t="shared" si="1"/>
        <v>0</v>
      </c>
      <c r="K15" s="1" t="s">
        <v>138</v>
      </c>
    </row>
    <row r="16" spans="1:11" x14ac:dyDescent="0.3">
      <c r="A16" s="49" t="s">
        <v>47</v>
      </c>
      <c r="B16">
        <v>29</v>
      </c>
      <c r="C16">
        <v>15</v>
      </c>
      <c r="D16">
        <v>0.66</v>
      </c>
      <c r="E16">
        <v>0.66</v>
      </c>
      <c r="F16">
        <f t="shared" si="0"/>
        <v>0.5</v>
      </c>
      <c r="G16">
        <v>16</v>
      </c>
      <c r="H16">
        <v>0.64</v>
      </c>
      <c r="I16">
        <v>0.59</v>
      </c>
      <c r="J16">
        <f t="shared" si="1"/>
        <v>0.5</v>
      </c>
      <c r="K16" s="1" t="s">
        <v>138</v>
      </c>
    </row>
    <row r="17" spans="1:14" x14ac:dyDescent="0.3">
      <c r="A17" s="49" t="s">
        <v>27</v>
      </c>
      <c r="B17">
        <v>31</v>
      </c>
      <c r="C17">
        <v>96</v>
      </c>
      <c r="D17">
        <v>0.24</v>
      </c>
      <c r="E17">
        <v>1.1299999999999999</v>
      </c>
      <c r="F17">
        <f t="shared" si="0"/>
        <v>0</v>
      </c>
      <c r="G17">
        <v>97</v>
      </c>
      <c r="H17">
        <v>0.24</v>
      </c>
      <c r="I17">
        <v>1.1399999999999999</v>
      </c>
      <c r="J17">
        <f t="shared" si="1"/>
        <v>0</v>
      </c>
      <c r="K17" s="1" t="s">
        <v>140</v>
      </c>
    </row>
    <row r="18" spans="1:14" x14ac:dyDescent="0.3">
      <c r="A18" s="49" t="s">
        <v>10</v>
      </c>
      <c r="B18">
        <v>33</v>
      </c>
      <c r="C18">
        <v>31</v>
      </c>
      <c r="D18">
        <v>0.52</v>
      </c>
      <c r="E18">
        <v>0.06</v>
      </c>
      <c r="F18">
        <f t="shared" si="0"/>
        <v>1</v>
      </c>
      <c r="G18">
        <v>39</v>
      </c>
      <c r="H18">
        <v>0.46</v>
      </c>
      <c r="I18">
        <v>0.17</v>
      </c>
      <c r="J18">
        <f t="shared" si="1"/>
        <v>1</v>
      </c>
      <c r="K18" s="1"/>
    </row>
    <row r="19" spans="1:14" x14ac:dyDescent="0.3">
      <c r="A19" s="49" t="s">
        <v>6</v>
      </c>
      <c r="B19">
        <v>37</v>
      </c>
      <c r="C19">
        <v>10</v>
      </c>
      <c r="D19">
        <v>0.79</v>
      </c>
      <c r="E19">
        <v>1.31</v>
      </c>
      <c r="F19">
        <f t="shared" si="0"/>
        <v>0</v>
      </c>
      <c r="G19">
        <v>14</v>
      </c>
      <c r="H19">
        <v>0.73</v>
      </c>
      <c r="I19">
        <v>0.97</v>
      </c>
      <c r="J19">
        <f t="shared" si="1"/>
        <v>0</v>
      </c>
      <c r="K19" s="1" t="s">
        <v>139</v>
      </c>
    </row>
    <row r="20" spans="1:14" x14ac:dyDescent="0.3">
      <c r="A20" s="49" t="s">
        <v>33</v>
      </c>
      <c r="B20">
        <v>37</v>
      </c>
      <c r="C20">
        <v>61</v>
      </c>
      <c r="D20">
        <v>0.38</v>
      </c>
      <c r="E20">
        <v>0.5</v>
      </c>
      <c r="F20">
        <f t="shared" si="0"/>
        <v>0.5</v>
      </c>
      <c r="G20">
        <v>81</v>
      </c>
      <c r="H20">
        <v>0.31</v>
      </c>
      <c r="I20">
        <v>0.78</v>
      </c>
      <c r="J20">
        <f t="shared" si="1"/>
        <v>0.5</v>
      </c>
      <c r="K20" s="1" t="s">
        <v>138</v>
      </c>
    </row>
    <row r="21" spans="1:14" x14ac:dyDescent="0.3">
      <c r="A21" s="49" t="s">
        <v>28</v>
      </c>
      <c r="B21">
        <v>39</v>
      </c>
      <c r="C21">
        <v>15</v>
      </c>
      <c r="D21">
        <v>0.72</v>
      </c>
      <c r="E21">
        <v>0.96</v>
      </c>
      <c r="F21">
        <f t="shared" si="0"/>
        <v>0</v>
      </c>
      <c r="G21">
        <v>16</v>
      </c>
      <c r="H21">
        <v>0.71</v>
      </c>
      <c r="I21">
        <v>0.89</v>
      </c>
      <c r="J21">
        <f t="shared" si="1"/>
        <v>0</v>
      </c>
      <c r="K21" s="1"/>
    </row>
    <row r="22" spans="1:14" x14ac:dyDescent="0.3">
      <c r="A22" s="49" t="s">
        <v>60</v>
      </c>
      <c r="B22">
        <v>40</v>
      </c>
      <c r="C22">
        <v>32</v>
      </c>
      <c r="D22">
        <v>0.56000000000000005</v>
      </c>
      <c r="E22">
        <v>0.22</v>
      </c>
      <c r="F22">
        <f t="shared" si="0"/>
        <v>1</v>
      </c>
      <c r="G22">
        <v>33</v>
      </c>
      <c r="H22">
        <v>0.55000000000000004</v>
      </c>
      <c r="I22">
        <v>0.19</v>
      </c>
      <c r="J22">
        <f t="shared" si="1"/>
        <v>1</v>
      </c>
      <c r="K22" s="1" t="s">
        <v>137</v>
      </c>
    </row>
    <row r="23" spans="1:14" x14ac:dyDescent="0.3">
      <c r="A23" s="49" t="s">
        <v>40</v>
      </c>
      <c r="B23">
        <v>42</v>
      </c>
      <c r="C23">
        <v>26</v>
      </c>
      <c r="D23">
        <v>0.62</v>
      </c>
      <c r="E23">
        <v>0.48</v>
      </c>
      <c r="F23">
        <f t="shared" si="0"/>
        <v>0.5</v>
      </c>
      <c r="G23">
        <v>53</v>
      </c>
      <c r="H23">
        <v>0.44</v>
      </c>
      <c r="I23">
        <v>0.23</v>
      </c>
      <c r="J23">
        <f t="shared" si="1"/>
        <v>1</v>
      </c>
      <c r="K23" s="1" t="s">
        <v>140</v>
      </c>
      <c r="N23" cm="1">
        <f t="array" aca="1" ref="N23" ca="1">N23:O45</f>
        <v>0</v>
      </c>
    </row>
    <row r="24" spans="1:14" x14ac:dyDescent="0.3">
      <c r="A24" s="49" t="s">
        <v>37</v>
      </c>
      <c r="B24">
        <v>45</v>
      </c>
      <c r="C24">
        <v>6</v>
      </c>
      <c r="D24">
        <v>0.88</v>
      </c>
      <c r="E24">
        <v>2.0099999999999998</v>
      </c>
      <c r="F24">
        <f t="shared" si="0"/>
        <v>0</v>
      </c>
      <c r="G24">
        <v>6</v>
      </c>
      <c r="H24">
        <v>0.88</v>
      </c>
      <c r="I24">
        <v>2.0099999999999998</v>
      </c>
      <c r="J24">
        <f t="shared" si="1"/>
        <v>0</v>
      </c>
      <c r="K24" s="1" t="s">
        <v>138</v>
      </c>
    </row>
    <row r="25" spans="1:14" x14ac:dyDescent="0.3">
      <c r="A25" s="49" t="s">
        <v>24</v>
      </c>
      <c r="B25">
        <v>46</v>
      </c>
      <c r="C25">
        <v>48</v>
      </c>
      <c r="D25">
        <v>0.49</v>
      </c>
      <c r="E25">
        <v>0.04</v>
      </c>
      <c r="F25">
        <f t="shared" si="0"/>
        <v>1</v>
      </c>
      <c r="G25">
        <v>53</v>
      </c>
      <c r="H25">
        <v>0.46</v>
      </c>
      <c r="I25">
        <v>0.14000000000000001</v>
      </c>
      <c r="J25">
        <f t="shared" si="1"/>
        <v>1</v>
      </c>
      <c r="K25" s="1" t="s">
        <v>139</v>
      </c>
    </row>
    <row r="26" spans="1:14" x14ac:dyDescent="0.3">
      <c r="A26" s="49" t="s">
        <v>57</v>
      </c>
      <c r="B26">
        <v>49</v>
      </c>
      <c r="C26">
        <v>27</v>
      </c>
      <c r="D26">
        <v>0.64</v>
      </c>
      <c r="E26">
        <v>0.6</v>
      </c>
      <c r="F26">
        <f t="shared" si="0"/>
        <v>0.5</v>
      </c>
      <c r="G26">
        <v>30</v>
      </c>
      <c r="H26">
        <v>0.62</v>
      </c>
      <c r="I26">
        <v>0.49</v>
      </c>
      <c r="J26">
        <f t="shared" si="1"/>
        <v>0.5</v>
      </c>
      <c r="K26" s="1" t="s">
        <v>140</v>
      </c>
    </row>
    <row r="27" spans="1:14" x14ac:dyDescent="0.3">
      <c r="A27" s="49" t="s">
        <v>26</v>
      </c>
      <c r="B27">
        <v>51</v>
      </c>
      <c r="C27">
        <v>54</v>
      </c>
      <c r="D27">
        <v>0.49</v>
      </c>
      <c r="E27">
        <v>0.06</v>
      </c>
      <c r="F27">
        <f t="shared" si="0"/>
        <v>1</v>
      </c>
      <c r="G27">
        <v>73</v>
      </c>
      <c r="H27">
        <v>0.41</v>
      </c>
      <c r="I27">
        <v>0.36</v>
      </c>
      <c r="J27">
        <f t="shared" si="1"/>
        <v>1</v>
      </c>
      <c r="K27" s="1" t="s">
        <v>140</v>
      </c>
    </row>
    <row r="28" spans="1:14" x14ac:dyDescent="0.3">
      <c r="A28" s="49" t="s">
        <v>14</v>
      </c>
      <c r="B28">
        <v>54</v>
      </c>
      <c r="C28">
        <v>17</v>
      </c>
      <c r="D28">
        <v>0.76</v>
      </c>
      <c r="E28">
        <v>1.1599999999999999</v>
      </c>
      <c r="F28">
        <f t="shared" si="0"/>
        <v>0</v>
      </c>
      <c r="G28">
        <v>19</v>
      </c>
      <c r="H28">
        <v>0.74</v>
      </c>
      <c r="I28">
        <v>1.04</v>
      </c>
      <c r="J28">
        <f t="shared" si="1"/>
        <v>0</v>
      </c>
      <c r="K28" s="1" t="s">
        <v>135</v>
      </c>
    </row>
    <row r="29" spans="1:14" x14ac:dyDescent="0.3">
      <c r="A29" s="49" t="s">
        <v>23</v>
      </c>
      <c r="B29">
        <v>54</v>
      </c>
      <c r="C29">
        <v>28</v>
      </c>
      <c r="D29">
        <v>0.66</v>
      </c>
      <c r="E29">
        <v>0.66</v>
      </c>
      <c r="F29">
        <f t="shared" si="0"/>
        <v>0.5</v>
      </c>
      <c r="G29">
        <v>40</v>
      </c>
      <c r="H29">
        <v>0.56999999999999995</v>
      </c>
      <c r="I29">
        <v>0.3</v>
      </c>
      <c r="J29">
        <f t="shared" si="1"/>
        <v>1</v>
      </c>
      <c r="K29" s="1" t="s">
        <v>136</v>
      </c>
    </row>
    <row r="30" spans="1:14" x14ac:dyDescent="0.3">
      <c r="A30" s="49" t="s">
        <v>7</v>
      </c>
      <c r="B30">
        <v>60</v>
      </c>
      <c r="C30">
        <v>184</v>
      </c>
      <c r="D30">
        <v>0.25</v>
      </c>
      <c r="E30">
        <v>1.1200000000000001</v>
      </c>
      <c r="F30">
        <f t="shared" si="0"/>
        <v>0</v>
      </c>
      <c r="G30">
        <v>409</v>
      </c>
      <c r="H30">
        <v>0.13</v>
      </c>
      <c r="I30">
        <v>1.92</v>
      </c>
      <c r="J30">
        <f t="shared" si="1"/>
        <v>0</v>
      </c>
      <c r="K30" s="1" t="s">
        <v>137</v>
      </c>
    </row>
    <row r="31" spans="1:14" x14ac:dyDescent="0.3">
      <c r="A31" s="49" t="s">
        <v>18</v>
      </c>
      <c r="B31">
        <v>62</v>
      </c>
      <c r="C31">
        <v>129</v>
      </c>
      <c r="D31">
        <v>0.32</v>
      </c>
      <c r="E31">
        <v>0.73</v>
      </c>
      <c r="F31">
        <f t="shared" si="0"/>
        <v>0.5</v>
      </c>
      <c r="G31">
        <v>195</v>
      </c>
      <c r="H31">
        <v>0.24</v>
      </c>
      <c r="I31">
        <v>1.1499999999999999</v>
      </c>
      <c r="J31">
        <f t="shared" si="1"/>
        <v>0</v>
      </c>
      <c r="K31" s="1" t="s">
        <v>138</v>
      </c>
    </row>
    <row r="32" spans="1:14" x14ac:dyDescent="0.3">
      <c r="A32" s="49" t="s">
        <v>36</v>
      </c>
      <c r="B32">
        <v>62</v>
      </c>
      <c r="C32">
        <v>23</v>
      </c>
      <c r="D32">
        <v>0.73</v>
      </c>
      <c r="E32">
        <v>0.99</v>
      </c>
      <c r="F32">
        <f t="shared" si="0"/>
        <v>0</v>
      </c>
      <c r="G32">
        <v>48</v>
      </c>
      <c r="H32">
        <v>0.56000000000000005</v>
      </c>
      <c r="I32">
        <v>0.26</v>
      </c>
      <c r="J32">
        <f t="shared" si="1"/>
        <v>1</v>
      </c>
      <c r="K32" s="1" t="s">
        <v>139</v>
      </c>
    </row>
    <row r="33" spans="1:11" x14ac:dyDescent="0.3">
      <c r="A33" s="49" t="s">
        <v>20</v>
      </c>
      <c r="B33">
        <v>68</v>
      </c>
      <c r="C33">
        <v>57</v>
      </c>
      <c r="D33">
        <v>0.54</v>
      </c>
      <c r="E33">
        <v>0.18</v>
      </c>
      <c r="F33">
        <f t="shared" si="0"/>
        <v>1</v>
      </c>
      <c r="G33">
        <v>59</v>
      </c>
      <c r="H33">
        <v>0.54</v>
      </c>
      <c r="I33">
        <v>0.14000000000000001</v>
      </c>
      <c r="J33">
        <f t="shared" si="1"/>
        <v>1</v>
      </c>
      <c r="K33" s="1" t="s">
        <v>140</v>
      </c>
    </row>
    <row r="34" spans="1:11" x14ac:dyDescent="0.3">
      <c r="A34" s="49" t="s">
        <v>50</v>
      </c>
      <c r="B34">
        <v>69</v>
      </c>
      <c r="C34">
        <v>72</v>
      </c>
      <c r="D34">
        <v>0.49</v>
      </c>
      <c r="E34">
        <v>0.04</v>
      </c>
      <c r="F34">
        <f t="shared" si="0"/>
        <v>1</v>
      </c>
      <c r="G34">
        <v>76</v>
      </c>
      <c r="H34">
        <v>0.48</v>
      </c>
      <c r="I34">
        <v>0.1</v>
      </c>
      <c r="J34">
        <f t="shared" si="1"/>
        <v>1</v>
      </c>
      <c r="K34" s="1" t="s">
        <v>139</v>
      </c>
    </row>
    <row r="35" spans="1:11" x14ac:dyDescent="0.3">
      <c r="A35" s="49" t="s">
        <v>45</v>
      </c>
      <c r="B35">
        <v>73</v>
      </c>
      <c r="C35">
        <v>16</v>
      </c>
      <c r="D35">
        <v>0.82</v>
      </c>
      <c r="E35">
        <v>1.52</v>
      </c>
      <c r="F35">
        <f t="shared" si="0"/>
        <v>0</v>
      </c>
      <c r="G35">
        <v>53</v>
      </c>
      <c r="H35">
        <v>0.57999999999999996</v>
      </c>
      <c r="I35">
        <v>0.32</v>
      </c>
      <c r="J35">
        <f t="shared" si="1"/>
        <v>1</v>
      </c>
      <c r="K35" s="1" t="s">
        <v>136</v>
      </c>
    </row>
    <row r="36" spans="1:11" x14ac:dyDescent="0.3">
      <c r="A36" s="49" t="s">
        <v>52</v>
      </c>
      <c r="B36">
        <v>75</v>
      </c>
      <c r="C36">
        <v>266</v>
      </c>
      <c r="D36">
        <v>0.22</v>
      </c>
      <c r="E36">
        <v>1.27</v>
      </c>
      <c r="F36">
        <f t="shared" si="0"/>
        <v>0</v>
      </c>
      <c r="G36">
        <v>298</v>
      </c>
      <c r="H36">
        <v>0.2</v>
      </c>
      <c r="I36">
        <v>1.38</v>
      </c>
      <c r="J36">
        <f t="shared" si="1"/>
        <v>0</v>
      </c>
      <c r="K36" s="1" t="s">
        <v>137</v>
      </c>
    </row>
    <row r="37" spans="1:11" x14ac:dyDescent="0.3">
      <c r="A37" s="49" t="s">
        <v>34</v>
      </c>
      <c r="B37">
        <v>75</v>
      </c>
      <c r="C37">
        <v>49</v>
      </c>
      <c r="D37">
        <v>0.6</v>
      </c>
      <c r="E37">
        <v>0.43</v>
      </c>
      <c r="F37">
        <f t="shared" si="0"/>
        <v>1</v>
      </c>
      <c r="G37">
        <v>265</v>
      </c>
      <c r="H37">
        <v>0.22</v>
      </c>
      <c r="I37">
        <v>1.26</v>
      </c>
      <c r="J37">
        <f t="shared" si="1"/>
        <v>0</v>
      </c>
      <c r="K37" s="1" t="s">
        <v>135</v>
      </c>
    </row>
    <row r="38" spans="1:11" x14ac:dyDescent="0.3">
      <c r="A38" s="49" t="s">
        <v>9</v>
      </c>
      <c r="B38">
        <v>76</v>
      </c>
      <c r="C38">
        <v>52</v>
      </c>
      <c r="D38">
        <v>0.59</v>
      </c>
      <c r="E38">
        <v>0.38</v>
      </c>
      <c r="F38">
        <f t="shared" si="0"/>
        <v>1</v>
      </c>
      <c r="G38">
        <v>96</v>
      </c>
      <c r="H38">
        <v>0.44</v>
      </c>
      <c r="I38">
        <v>0.23</v>
      </c>
      <c r="J38">
        <f t="shared" si="1"/>
        <v>1</v>
      </c>
      <c r="K38" s="1" t="s">
        <v>136</v>
      </c>
    </row>
    <row r="39" spans="1:11" x14ac:dyDescent="0.3">
      <c r="A39" s="49" t="s">
        <v>44</v>
      </c>
      <c r="B39">
        <v>86</v>
      </c>
      <c r="C39">
        <v>124</v>
      </c>
      <c r="D39">
        <v>0.41</v>
      </c>
      <c r="E39">
        <v>0.37</v>
      </c>
      <c r="F39">
        <f t="shared" si="0"/>
        <v>1</v>
      </c>
      <c r="G39">
        <v>126</v>
      </c>
      <c r="H39">
        <v>0.41</v>
      </c>
      <c r="I39">
        <v>0.38</v>
      </c>
      <c r="J39">
        <f t="shared" si="1"/>
        <v>1</v>
      </c>
      <c r="K39" s="1" t="s">
        <v>139</v>
      </c>
    </row>
    <row r="40" spans="1:11" x14ac:dyDescent="0.3">
      <c r="A40" s="49" t="s">
        <v>11</v>
      </c>
      <c r="B40">
        <v>88</v>
      </c>
      <c r="C40">
        <v>68</v>
      </c>
      <c r="D40">
        <v>0.56000000000000005</v>
      </c>
      <c r="E40">
        <v>0.26</v>
      </c>
      <c r="F40">
        <f t="shared" si="0"/>
        <v>1</v>
      </c>
      <c r="G40">
        <v>68</v>
      </c>
      <c r="H40">
        <v>0.56000000000000005</v>
      </c>
      <c r="I40">
        <v>0.26</v>
      </c>
      <c r="J40">
        <f t="shared" si="1"/>
        <v>1</v>
      </c>
      <c r="K40" s="1" t="s">
        <v>140</v>
      </c>
    </row>
    <row r="41" spans="1:11" x14ac:dyDescent="0.3">
      <c r="A41" s="49" t="s">
        <v>12</v>
      </c>
      <c r="B41">
        <v>93</v>
      </c>
      <c r="C41">
        <v>23</v>
      </c>
      <c r="D41">
        <v>0.8</v>
      </c>
      <c r="E41">
        <v>1.4</v>
      </c>
      <c r="F41">
        <f t="shared" si="0"/>
        <v>0</v>
      </c>
      <c r="G41">
        <v>74</v>
      </c>
      <c r="H41">
        <v>0.56000000000000005</v>
      </c>
      <c r="I41">
        <v>0.23</v>
      </c>
      <c r="J41">
        <f t="shared" si="1"/>
        <v>1</v>
      </c>
      <c r="K41" s="1" t="s">
        <v>138</v>
      </c>
    </row>
    <row r="42" spans="1:11" x14ac:dyDescent="0.3">
      <c r="A42" s="49" t="s">
        <v>15</v>
      </c>
      <c r="B42">
        <v>95</v>
      </c>
      <c r="C42">
        <v>134</v>
      </c>
      <c r="D42">
        <v>0.41</v>
      </c>
      <c r="E42">
        <v>0.34</v>
      </c>
      <c r="F42">
        <f t="shared" si="0"/>
        <v>1</v>
      </c>
      <c r="G42">
        <v>219</v>
      </c>
      <c r="H42">
        <v>0.3</v>
      </c>
      <c r="I42">
        <v>0.84</v>
      </c>
      <c r="J42">
        <f t="shared" si="1"/>
        <v>0.5</v>
      </c>
      <c r="K42" s="1" t="s">
        <v>136</v>
      </c>
    </row>
    <row r="43" spans="1:11" x14ac:dyDescent="0.3">
      <c r="A43" s="49" t="s">
        <v>46</v>
      </c>
      <c r="B43">
        <v>103</v>
      </c>
      <c r="C43">
        <v>82</v>
      </c>
      <c r="D43">
        <v>0.56000000000000005</v>
      </c>
      <c r="E43">
        <v>0.23</v>
      </c>
      <c r="F43">
        <f t="shared" si="0"/>
        <v>1</v>
      </c>
      <c r="G43">
        <v>198</v>
      </c>
      <c r="H43">
        <v>0.34</v>
      </c>
      <c r="I43">
        <v>0.65</v>
      </c>
      <c r="J43">
        <f t="shared" si="1"/>
        <v>0.5</v>
      </c>
      <c r="K43" s="1"/>
    </row>
    <row r="44" spans="1:11" x14ac:dyDescent="0.3">
      <c r="A44" s="49" t="s">
        <v>31</v>
      </c>
      <c r="B44">
        <v>111</v>
      </c>
      <c r="C44">
        <v>203</v>
      </c>
      <c r="D44">
        <v>0.35</v>
      </c>
      <c r="E44">
        <v>0.6</v>
      </c>
      <c r="F44">
        <f t="shared" si="0"/>
        <v>0.5</v>
      </c>
      <c r="G44">
        <v>259</v>
      </c>
      <c r="H44">
        <v>0.3</v>
      </c>
      <c r="I44">
        <v>0.85</v>
      </c>
      <c r="J44">
        <f t="shared" si="1"/>
        <v>0.5</v>
      </c>
      <c r="K44" s="1"/>
    </row>
    <row r="45" spans="1:11" x14ac:dyDescent="0.3">
      <c r="A45" s="49" t="s">
        <v>51</v>
      </c>
      <c r="B45">
        <v>114</v>
      </c>
      <c r="C45">
        <v>47</v>
      </c>
      <c r="D45">
        <v>0.71</v>
      </c>
      <c r="E45">
        <v>0.89</v>
      </c>
      <c r="F45">
        <f t="shared" si="0"/>
        <v>0</v>
      </c>
      <c r="G45">
        <v>47</v>
      </c>
      <c r="H45">
        <v>0.71</v>
      </c>
      <c r="I45">
        <v>0.89</v>
      </c>
      <c r="J45">
        <f t="shared" si="1"/>
        <v>0</v>
      </c>
      <c r="K45" s="1"/>
    </row>
    <row r="46" spans="1:11" x14ac:dyDescent="0.3">
      <c r="A46" s="49" t="s">
        <v>63</v>
      </c>
      <c r="B46">
        <v>120</v>
      </c>
      <c r="C46">
        <v>376</v>
      </c>
      <c r="D46">
        <v>0.24</v>
      </c>
      <c r="E46">
        <v>1.1399999999999999</v>
      </c>
      <c r="F46">
        <f t="shared" si="0"/>
        <v>0</v>
      </c>
      <c r="G46">
        <v>451</v>
      </c>
      <c r="H46">
        <v>0.21</v>
      </c>
      <c r="I46">
        <v>1.32</v>
      </c>
      <c r="J46">
        <f t="shared" si="1"/>
        <v>0</v>
      </c>
      <c r="K46" s="1"/>
    </row>
    <row r="47" spans="1:11" x14ac:dyDescent="0.3">
      <c r="A47" s="49" t="s">
        <v>61</v>
      </c>
      <c r="B47">
        <v>122</v>
      </c>
      <c r="C47">
        <v>421</v>
      </c>
      <c r="D47">
        <v>0.22</v>
      </c>
      <c r="E47">
        <v>1.24</v>
      </c>
      <c r="F47">
        <f t="shared" si="0"/>
        <v>0</v>
      </c>
      <c r="G47">
        <v>449</v>
      </c>
      <c r="H47">
        <v>0.21</v>
      </c>
      <c r="I47">
        <v>1.3</v>
      </c>
      <c r="J47">
        <f t="shared" si="1"/>
        <v>0</v>
      </c>
      <c r="K47" s="1"/>
    </row>
    <row r="48" spans="1:11" x14ac:dyDescent="0.3">
      <c r="A48" s="49" t="s">
        <v>53</v>
      </c>
      <c r="B48">
        <v>122</v>
      </c>
      <c r="C48">
        <v>41</v>
      </c>
      <c r="D48">
        <v>0.75</v>
      </c>
      <c r="E48">
        <v>1.0900000000000001</v>
      </c>
      <c r="F48">
        <f t="shared" si="0"/>
        <v>0</v>
      </c>
      <c r="G48">
        <v>43</v>
      </c>
      <c r="H48">
        <v>0.74</v>
      </c>
      <c r="I48">
        <v>1.04</v>
      </c>
      <c r="J48">
        <f t="shared" si="1"/>
        <v>0</v>
      </c>
      <c r="K48" s="1"/>
    </row>
    <row r="49" spans="1:11" x14ac:dyDescent="0.3">
      <c r="A49" s="49" t="s">
        <v>35</v>
      </c>
      <c r="B49">
        <v>135</v>
      </c>
      <c r="C49">
        <v>7</v>
      </c>
      <c r="D49">
        <v>0.95</v>
      </c>
      <c r="E49">
        <v>2.96</v>
      </c>
      <c r="F49">
        <f t="shared" si="0"/>
        <v>0</v>
      </c>
      <c r="G49">
        <v>70</v>
      </c>
      <c r="H49">
        <v>0.66</v>
      </c>
      <c r="I49">
        <v>0.66</v>
      </c>
      <c r="J49">
        <f t="shared" si="1"/>
        <v>0.5</v>
      </c>
      <c r="K49" s="1"/>
    </row>
    <row r="50" spans="1:11" x14ac:dyDescent="0.3">
      <c r="A50" s="49" t="s">
        <v>38</v>
      </c>
      <c r="B50">
        <v>157</v>
      </c>
      <c r="C50">
        <v>34</v>
      </c>
      <c r="D50">
        <v>0.82</v>
      </c>
      <c r="E50">
        <v>1.53</v>
      </c>
      <c r="F50">
        <f t="shared" si="0"/>
        <v>0</v>
      </c>
      <c r="G50">
        <v>101</v>
      </c>
      <c r="H50">
        <v>0.61</v>
      </c>
      <c r="I50">
        <v>0.44</v>
      </c>
      <c r="J50">
        <f t="shared" si="1"/>
        <v>0.5</v>
      </c>
      <c r="K50" s="1"/>
    </row>
    <row r="51" spans="1:11" x14ac:dyDescent="0.3">
      <c r="A51" s="49" t="s">
        <v>42</v>
      </c>
      <c r="B51">
        <v>172</v>
      </c>
      <c r="C51">
        <v>38</v>
      </c>
      <c r="D51">
        <v>0.82</v>
      </c>
      <c r="E51">
        <v>1.51</v>
      </c>
      <c r="F51">
        <f t="shared" si="0"/>
        <v>0</v>
      </c>
      <c r="G51">
        <v>52</v>
      </c>
      <c r="H51">
        <v>0.77</v>
      </c>
      <c r="I51">
        <v>1.2</v>
      </c>
      <c r="J51">
        <f t="shared" si="1"/>
        <v>0</v>
      </c>
      <c r="K51" s="1"/>
    </row>
    <row r="52" spans="1:11" x14ac:dyDescent="0.3">
      <c r="A52" s="49" t="s">
        <v>19</v>
      </c>
      <c r="B52">
        <v>180</v>
      </c>
      <c r="C52">
        <v>32</v>
      </c>
      <c r="D52">
        <v>0.85</v>
      </c>
      <c r="E52">
        <v>1.73</v>
      </c>
      <c r="F52">
        <f t="shared" si="0"/>
        <v>0</v>
      </c>
      <c r="G52">
        <v>34</v>
      </c>
      <c r="H52">
        <v>0.84</v>
      </c>
      <c r="I52">
        <v>1.67</v>
      </c>
      <c r="J52">
        <f t="shared" si="1"/>
        <v>0</v>
      </c>
      <c r="K52" s="1" t="s">
        <v>139</v>
      </c>
    </row>
    <row r="53" spans="1:11" x14ac:dyDescent="0.3">
      <c r="A53" s="49" t="s">
        <v>64</v>
      </c>
      <c r="B53">
        <v>207</v>
      </c>
      <c r="C53">
        <v>248</v>
      </c>
      <c r="D53">
        <v>0.45</v>
      </c>
      <c r="E53">
        <v>0.18</v>
      </c>
      <c r="F53">
        <f t="shared" si="0"/>
        <v>1</v>
      </c>
      <c r="G53">
        <v>506</v>
      </c>
      <c r="H53">
        <v>0.28999999999999998</v>
      </c>
      <c r="I53">
        <v>0.89</v>
      </c>
      <c r="J53">
        <f t="shared" si="1"/>
        <v>0</v>
      </c>
      <c r="K53" s="1"/>
    </row>
    <row r="54" spans="1:11" x14ac:dyDescent="0.3">
      <c r="A54" s="49" t="s">
        <v>25</v>
      </c>
      <c r="B54">
        <v>229</v>
      </c>
      <c r="C54">
        <v>38</v>
      </c>
      <c r="D54">
        <v>0.86</v>
      </c>
      <c r="E54">
        <v>1.8</v>
      </c>
      <c r="F54">
        <f t="shared" si="0"/>
        <v>0</v>
      </c>
      <c r="G54">
        <v>130</v>
      </c>
      <c r="H54">
        <v>0.64</v>
      </c>
      <c r="I54">
        <v>0.56999999999999995</v>
      </c>
      <c r="J54">
        <f t="shared" si="1"/>
        <v>0.5</v>
      </c>
      <c r="K54" s="1"/>
    </row>
    <row r="55" spans="1:11" x14ac:dyDescent="0.3">
      <c r="A55" s="49" t="s">
        <v>59</v>
      </c>
      <c r="B55">
        <v>245</v>
      </c>
      <c r="C55">
        <v>128</v>
      </c>
      <c r="D55">
        <v>0.66</v>
      </c>
      <c r="E55">
        <v>0.65</v>
      </c>
      <c r="F55">
        <f t="shared" si="0"/>
        <v>0.5</v>
      </c>
      <c r="G55">
        <v>134</v>
      </c>
      <c r="H55">
        <v>0.65</v>
      </c>
      <c r="I55">
        <v>0.6</v>
      </c>
      <c r="J55">
        <f t="shared" si="1"/>
        <v>0.5</v>
      </c>
      <c r="K55" s="1"/>
    </row>
    <row r="56" spans="1:11" x14ac:dyDescent="0.3">
      <c r="A56" s="49" t="s">
        <v>43</v>
      </c>
      <c r="B56">
        <v>257</v>
      </c>
      <c r="C56">
        <v>115</v>
      </c>
      <c r="D56">
        <v>0.69</v>
      </c>
      <c r="E56">
        <v>0.8</v>
      </c>
      <c r="F56">
        <f>IF(OR(D56&lt;0.4, D56&gt;0.6),IF(OR(D56&lt;0.3, D56&gt;0.7),0,0.5),1)</f>
        <v>0.5</v>
      </c>
      <c r="G56">
        <v>511</v>
      </c>
      <c r="H56">
        <v>0.33</v>
      </c>
      <c r="I56">
        <v>0.69</v>
      </c>
      <c r="J56">
        <f t="shared" si="1"/>
        <v>0.5</v>
      </c>
      <c r="K56" s="1"/>
    </row>
    <row r="57" spans="1:11" x14ac:dyDescent="0.3">
      <c r="A57" s="49" t="s">
        <v>55</v>
      </c>
      <c r="B57">
        <v>273</v>
      </c>
      <c r="C57">
        <v>37</v>
      </c>
      <c r="D57">
        <v>0.88</v>
      </c>
      <c r="E57">
        <v>2</v>
      </c>
      <c r="F57">
        <f t="shared" si="0"/>
        <v>0</v>
      </c>
      <c r="G57">
        <v>51</v>
      </c>
      <c r="H57">
        <v>0.84</v>
      </c>
      <c r="I57">
        <v>1.68</v>
      </c>
      <c r="J57">
        <f t="shared" si="1"/>
        <v>0</v>
      </c>
      <c r="K57" s="1"/>
    </row>
    <row r="58" spans="1:11" x14ac:dyDescent="0.3">
      <c r="A58" s="49" t="s">
        <v>65</v>
      </c>
      <c r="B58">
        <v>288</v>
      </c>
      <c r="C58">
        <v>216</v>
      </c>
      <c r="D58">
        <v>0.56999999999999995</v>
      </c>
      <c r="E58">
        <v>0.28999999999999998</v>
      </c>
      <c r="F58">
        <f t="shared" si="0"/>
        <v>1</v>
      </c>
      <c r="G58">
        <v>381</v>
      </c>
      <c r="H58">
        <v>0.43</v>
      </c>
      <c r="I58">
        <v>0.28000000000000003</v>
      </c>
      <c r="J58">
        <f t="shared" si="1"/>
        <v>1</v>
      </c>
      <c r="K58" s="1"/>
    </row>
    <row r="59" spans="1:11" x14ac:dyDescent="0.3">
      <c r="A59" s="49" t="s">
        <v>17</v>
      </c>
      <c r="B59">
        <v>316</v>
      </c>
      <c r="C59">
        <v>109</v>
      </c>
      <c r="D59">
        <v>0.74</v>
      </c>
      <c r="E59">
        <v>1.06</v>
      </c>
      <c r="F59">
        <f t="shared" si="0"/>
        <v>0</v>
      </c>
      <c r="G59">
        <v>243</v>
      </c>
      <c r="H59">
        <v>0.56999999999999995</v>
      </c>
      <c r="I59">
        <v>0.26</v>
      </c>
      <c r="J59">
        <f t="shared" si="1"/>
        <v>1</v>
      </c>
      <c r="K59" s="1"/>
    </row>
    <row r="60" spans="1:11" x14ac:dyDescent="0.3">
      <c r="A60" s="49" t="s">
        <v>29</v>
      </c>
      <c r="B60">
        <v>320</v>
      </c>
      <c r="C60">
        <v>424</v>
      </c>
      <c r="D60">
        <v>0.43</v>
      </c>
      <c r="E60">
        <v>0.28000000000000003</v>
      </c>
      <c r="F60">
        <f t="shared" si="0"/>
        <v>1</v>
      </c>
      <c r="G60">
        <v>677</v>
      </c>
      <c r="H60">
        <v>0.32</v>
      </c>
      <c r="I60">
        <v>0.75</v>
      </c>
      <c r="J60">
        <f t="shared" si="1"/>
        <v>0.5</v>
      </c>
      <c r="K60" s="1" t="s">
        <v>137</v>
      </c>
    </row>
    <row r="61" spans="1:11" x14ac:dyDescent="0.3">
      <c r="A61" s="49" t="s">
        <v>62</v>
      </c>
      <c r="B61">
        <v>364</v>
      </c>
      <c r="C61">
        <v>258</v>
      </c>
      <c r="D61">
        <v>0.59</v>
      </c>
      <c r="E61">
        <v>0.34</v>
      </c>
      <c r="F61">
        <f t="shared" si="0"/>
        <v>1</v>
      </c>
      <c r="G61">
        <v>297</v>
      </c>
      <c r="H61">
        <v>0.55000000000000004</v>
      </c>
      <c r="I61">
        <v>0.2</v>
      </c>
      <c r="J61">
        <f t="shared" si="1"/>
        <v>1</v>
      </c>
      <c r="K61" s="1"/>
    </row>
    <row r="62" spans="1:11" x14ac:dyDescent="0.3">
      <c r="A62" s="49" t="s">
        <v>58</v>
      </c>
      <c r="B62">
        <v>505</v>
      </c>
      <c r="C62">
        <v>109</v>
      </c>
      <c r="D62">
        <v>0.82</v>
      </c>
      <c r="E62">
        <v>1.53</v>
      </c>
      <c r="F62">
        <f t="shared" si="0"/>
        <v>0</v>
      </c>
      <c r="G62">
        <v>226</v>
      </c>
      <c r="H62">
        <v>0.69</v>
      </c>
      <c r="I62">
        <v>0.8</v>
      </c>
      <c r="J62">
        <f t="shared" si="1"/>
        <v>0.5</v>
      </c>
      <c r="K62" s="1"/>
    </row>
    <row r="64" spans="1:11" ht="25" thickBot="1" x14ac:dyDescent="0.35">
      <c r="D64">
        <v>0</v>
      </c>
      <c r="E64">
        <f t="shared" ref="E64:E65" si="2">COUNTIF(F1:F63,D64)</f>
        <v>28</v>
      </c>
      <c r="H64">
        <v>0</v>
      </c>
      <c r="I64">
        <f t="shared" ref="I64:I65" si="3">COUNTIF(J1:J63,H64)</f>
        <v>25</v>
      </c>
    </row>
    <row r="65" spans="2:19" x14ac:dyDescent="0.3">
      <c r="D65">
        <v>0.5</v>
      </c>
      <c r="E65">
        <f t="shared" si="2"/>
        <v>13</v>
      </c>
      <c r="H65">
        <v>0.5</v>
      </c>
      <c r="I65">
        <f t="shared" si="3"/>
        <v>14</v>
      </c>
      <c r="O65" s="41"/>
      <c r="P65" s="56" t="s">
        <v>152</v>
      </c>
      <c r="Q65" s="57"/>
      <c r="R65" s="58" t="s">
        <v>154</v>
      </c>
      <c r="S65" s="57"/>
    </row>
    <row r="66" spans="2:19" ht="25" thickBot="1" x14ac:dyDescent="0.35">
      <c r="D66">
        <v>1</v>
      </c>
      <c r="E66">
        <f>COUNTIF(F3:F65,D66)</f>
        <v>19</v>
      </c>
      <c r="H66">
        <v>1</v>
      </c>
      <c r="I66">
        <f>COUNTIF(J3:J65,H66)</f>
        <v>21</v>
      </c>
      <c r="O66" s="18"/>
      <c r="P66" s="44" t="s">
        <v>166</v>
      </c>
      <c r="Q66" s="43" t="s">
        <v>167</v>
      </c>
      <c r="R66" s="42" t="s">
        <v>166</v>
      </c>
      <c r="S66" s="43" t="s">
        <v>167</v>
      </c>
    </row>
    <row r="67" spans="2:19" ht="100" x14ac:dyDescent="0.3">
      <c r="B67" s="18">
        <f>SUM(B3:B62)</f>
        <v>6130</v>
      </c>
      <c r="C67" s="18">
        <f>SUM(C3:C62)</f>
        <v>5101</v>
      </c>
      <c r="G67" s="18">
        <f>SUM(G3:G62)</f>
        <v>8104</v>
      </c>
      <c r="L67" s="38" t="s">
        <v>168</v>
      </c>
      <c r="M67" s="35">
        <v>0</v>
      </c>
      <c r="O67" s="44" t="s">
        <v>173</v>
      </c>
      <c r="P67" s="18">
        <f>SUMIF(F3:F62,"&gt;=0",C3:C62)</f>
        <v>5101</v>
      </c>
      <c r="Q67" s="19">
        <f>SUMIF(F3:F62,"&gt;=0",C3:C62)+SUMIF(F3:F62,"&gt;=0",B3:B62)</f>
        <v>11231</v>
      </c>
      <c r="R67">
        <f>SUMIF(J3:J62,"&gt;=0",G3:G62)</f>
        <v>8104</v>
      </c>
      <c r="S67" s="19">
        <f>SUMIF(J3:J62,"&gt;=0",G3:G62)+SUMIF(J3:J62,"&gt;=0",G3:G62)</f>
        <v>16208</v>
      </c>
    </row>
    <row r="68" spans="2:19" ht="125" x14ac:dyDescent="0.3">
      <c r="L68" s="39" t="s">
        <v>170</v>
      </c>
      <c r="M68" s="36">
        <v>0.5</v>
      </c>
      <c r="O68" s="44" t="s">
        <v>171</v>
      </c>
      <c r="P68" s="18">
        <f>SUMIF(F3:F62,"&gt;0",C3:C62)</f>
        <v>2813</v>
      </c>
      <c r="Q68" s="19">
        <f>SUMIF(F3:F62,"&gt;0",C3:C62)+SUMIF(F3:F62,"&gt;0",B3:B62)</f>
        <v>5833</v>
      </c>
      <c r="R68">
        <f>SUMIF(J3:J62,"&gt;0",G3:G62)</f>
        <v>4603</v>
      </c>
      <c r="S68" s="19">
        <f>SUMIF(J3:J62,"&gt;0",G3:G62)+SUMIF(J3:J62,"&gt;0",G3:G62)</f>
        <v>9206</v>
      </c>
    </row>
    <row r="69" spans="2:19" ht="101" thickBot="1" x14ac:dyDescent="0.35">
      <c r="L69" s="40" t="s">
        <v>169</v>
      </c>
      <c r="M69" s="37">
        <v>1</v>
      </c>
      <c r="O69" s="45" t="s">
        <v>172</v>
      </c>
      <c r="P69" s="48">
        <f>SUMIF(F3:F62,"&gt;.5",C3:C62)</f>
        <v>2026</v>
      </c>
      <c r="Q69" s="47">
        <f>SUMIF(F3:F62,"&gt;.5",C3:C62)+SUMIF(F3:F62,"&gt;.5",B3:B62)</f>
        <v>4096</v>
      </c>
      <c r="R69" s="46">
        <f>SUMIF(J3:J62,"&gt;.5",G3:G62)</f>
        <v>1922</v>
      </c>
      <c r="S69" s="47">
        <f>SUMIF(J3:J62,"&gt;.5",G3:G62)+SUMIF(J3:J62,"&gt;.5",G3:G62)</f>
        <v>3844</v>
      </c>
    </row>
  </sheetData>
  <mergeCells count="4">
    <mergeCell ref="C1:F1"/>
    <mergeCell ref="G1:J1"/>
    <mergeCell ref="P65:Q65"/>
    <mergeCell ref="R65:S65"/>
  </mergeCells>
  <conditionalFormatting sqref="F3:F62">
    <cfRule type="colorScale" priority="3">
      <colorScale>
        <cfvo type="min"/>
        <cfvo type="percentile" val="50"/>
        <cfvo type="max"/>
        <color rgb="FFF8696B"/>
        <color rgb="FFFFEB84"/>
        <color rgb="FF63BE7B"/>
      </colorScale>
    </cfRule>
  </conditionalFormatting>
  <conditionalFormatting sqref="J3:J62 L15:L17">
    <cfRule type="colorScale" priority="2">
      <colorScale>
        <cfvo type="min"/>
        <cfvo type="percentile" val="50"/>
        <cfvo type="max"/>
        <color rgb="FFF8696B"/>
        <color rgb="FFFFEB84"/>
        <color rgb="FF63BE7B"/>
      </colorScale>
    </cfRule>
  </conditionalFormatting>
  <conditionalFormatting sqref="M67:M6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FC7A-0E65-A042-B300-AA6CBEDDD6C9}">
  <dimension ref="A1:I65"/>
  <sheetViews>
    <sheetView zoomScale="170" zoomScaleNormal="170" workbookViewId="0">
      <pane ySplit="1" topLeftCell="A10" activePane="bottomLeft" state="frozen"/>
      <selection pane="bottomLeft" activeCell="F65" sqref="F65"/>
    </sheetView>
  </sheetViews>
  <sheetFormatPr baseColWidth="10" defaultColWidth="5.21875" defaultRowHeight="14" x14ac:dyDescent="0.2"/>
  <cols>
    <col min="1" max="1" width="5.21875" style="28"/>
    <col min="2" max="2" width="9.6640625" style="28" customWidth="1"/>
    <col min="3" max="3" width="16.33203125" style="28" customWidth="1"/>
    <col min="4" max="4" width="5.21875" style="28"/>
    <col min="5" max="8" width="10.44140625" style="24" customWidth="1"/>
    <col min="9" max="16384" width="5.21875" style="28"/>
  </cols>
  <sheetData>
    <row r="1" spans="1:9" s="31" customFormat="1" ht="78" customHeight="1" x14ac:dyDescent="0.2">
      <c r="A1" s="20" t="s">
        <v>66</v>
      </c>
      <c r="B1" s="20" t="s">
        <v>0</v>
      </c>
      <c r="C1" s="20" t="s">
        <v>5</v>
      </c>
      <c r="D1" s="21" t="s">
        <v>134</v>
      </c>
      <c r="E1" s="22" t="s">
        <v>160</v>
      </c>
      <c r="F1" s="23" t="s">
        <v>158</v>
      </c>
      <c r="G1" s="29" t="s">
        <v>161</v>
      </c>
      <c r="H1" s="29" t="s">
        <v>158</v>
      </c>
      <c r="I1" s="30"/>
    </row>
    <row r="2" spans="1:9" ht="15" x14ac:dyDescent="0.2">
      <c r="A2" s="25" t="s">
        <v>92</v>
      </c>
      <c r="B2" s="32" t="s">
        <v>80</v>
      </c>
      <c r="C2" s="26" t="s">
        <v>37</v>
      </c>
      <c r="D2" s="27">
        <v>45</v>
      </c>
      <c r="E2" s="33" t="s">
        <v>137</v>
      </c>
      <c r="F2" s="24" t="s">
        <v>141</v>
      </c>
    </row>
    <row r="3" spans="1:9" ht="15" x14ac:dyDescent="0.2">
      <c r="A3" s="25" t="s">
        <v>100</v>
      </c>
      <c r="B3" s="32" t="s">
        <v>4</v>
      </c>
      <c r="C3" s="26" t="s">
        <v>26</v>
      </c>
      <c r="D3" s="27">
        <v>66</v>
      </c>
      <c r="E3" s="33" t="s">
        <v>137</v>
      </c>
      <c r="F3" s="24" t="s">
        <v>159</v>
      </c>
    </row>
    <row r="4" spans="1:9" ht="15" x14ac:dyDescent="0.2">
      <c r="A4" s="25" t="s">
        <v>106</v>
      </c>
      <c r="B4" s="32" t="s">
        <v>84</v>
      </c>
      <c r="C4" s="26" t="s">
        <v>52</v>
      </c>
      <c r="D4" s="27">
        <v>83</v>
      </c>
      <c r="E4" s="33" t="s">
        <v>137</v>
      </c>
      <c r="F4" s="24" t="s">
        <v>159</v>
      </c>
    </row>
    <row r="5" spans="1:9" ht="15" x14ac:dyDescent="0.2">
      <c r="A5" s="25" t="s">
        <v>131</v>
      </c>
      <c r="B5" s="32" t="s">
        <v>3</v>
      </c>
      <c r="C5" s="26" t="s">
        <v>17</v>
      </c>
      <c r="D5" s="27">
        <v>326</v>
      </c>
      <c r="E5" s="33" t="s">
        <v>137</v>
      </c>
      <c r="F5" s="24" t="s">
        <v>141</v>
      </c>
    </row>
    <row r="6" spans="1:9" ht="15" x14ac:dyDescent="0.2">
      <c r="A6" s="25" t="s">
        <v>90</v>
      </c>
      <c r="B6" s="32" t="s">
        <v>1</v>
      </c>
      <c r="C6" s="26" t="s">
        <v>6</v>
      </c>
      <c r="D6" s="27">
        <v>40</v>
      </c>
      <c r="E6" s="33" t="s">
        <v>138</v>
      </c>
      <c r="F6" s="24" t="s">
        <v>159</v>
      </c>
      <c r="G6" s="33" t="s">
        <v>140</v>
      </c>
      <c r="H6" s="33" t="s">
        <v>142</v>
      </c>
    </row>
    <row r="7" spans="1:9" ht="15" x14ac:dyDescent="0.2">
      <c r="A7" s="25" t="s">
        <v>85</v>
      </c>
      <c r="B7" s="32" t="s">
        <v>2</v>
      </c>
      <c r="C7" s="26" t="s">
        <v>16</v>
      </c>
      <c r="D7" s="27">
        <v>29</v>
      </c>
      <c r="E7" s="33" t="s">
        <v>138</v>
      </c>
      <c r="F7" s="24" t="s">
        <v>159</v>
      </c>
    </row>
    <row r="8" spans="1:9" ht="15" x14ac:dyDescent="0.2">
      <c r="A8" s="25" t="s">
        <v>86</v>
      </c>
      <c r="B8" s="32" t="s">
        <v>3</v>
      </c>
      <c r="C8" s="26" t="s">
        <v>39</v>
      </c>
      <c r="D8" s="27">
        <v>30</v>
      </c>
      <c r="E8" s="33" t="s">
        <v>138</v>
      </c>
      <c r="F8" s="24" t="s">
        <v>159</v>
      </c>
    </row>
    <row r="9" spans="1:9" ht="15" x14ac:dyDescent="0.2">
      <c r="A9" s="25" t="s">
        <v>94</v>
      </c>
      <c r="B9" s="32" t="s">
        <v>80</v>
      </c>
      <c r="C9" s="26" t="s">
        <v>24</v>
      </c>
      <c r="D9" s="27">
        <v>47</v>
      </c>
      <c r="E9" s="33" t="s">
        <v>138</v>
      </c>
      <c r="F9" s="24" t="s">
        <v>159</v>
      </c>
    </row>
    <row r="10" spans="1:9" ht="15" x14ac:dyDescent="0.2">
      <c r="A10" s="25" t="s">
        <v>101</v>
      </c>
      <c r="B10" s="32" t="s">
        <v>1</v>
      </c>
      <c r="C10" s="26" t="s">
        <v>36</v>
      </c>
      <c r="D10" s="27">
        <v>69</v>
      </c>
      <c r="E10" s="33" t="s">
        <v>138</v>
      </c>
      <c r="F10" s="24" t="s">
        <v>159</v>
      </c>
    </row>
    <row r="11" spans="1:9" ht="15" x14ac:dyDescent="0.2">
      <c r="A11" s="25" t="s">
        <v>112</v>
      </c>
      <c r="B11" s="32" t="s">
        <v>80</v>
      </c>
      <c r="C11" s="26" t="s">
        <v>12</v>
      </c>
      <c r="D11" s="27">
        <v>97</v>
      </c>
      <c r="E11" s="33" t="s">
        <v>138</v>
      </c>
      <c r="F11" s="24" t="s">
        <v>159</v>
      </c>
    </row>
    <row r="12" spans="1:9" ht="15" x14ac:dyDescent="0.2">
      <c r="A12" s="25" t="s">
        <v>98</v>
      </c>
      <c r="B12" s="32" t="s">
        <v>2</v>
      </c>
      <c r="C12" s="26" t="s">
        <v>18</v>
      </c>
      <c r="D12" s="27">
        <v>63</v>
      </c>
      <c r="E12" s="33" t="s">
        <v>135</v>
      </c>
      <c r="F12" s="24" t="s">
        <v>159</v>
      </c>
    </row>
    <row r="13" spans="1:9" ht="15" x14ac:dyDescent="0.2">
      <c r="A13" s="25" t="s">
        <v>107</v>
      </c>
      <c r="B13" s="32" t="s">
        <v>108</v>
      </c>
      <c r="C13" s="26" t="s">
        <v>9</v>
      </c>
      <c r="D13" s="27">
        <v>83</v>
      </c>
      <c r="E13" s="33" t="s">
        <v>135</v>
      </c>
      <c r="F13" s="24" t="s">
        <v>159</v>
      </c>
    </row>
    <row r="14" spans="1:9" ht="15" x14ac:dyDescent="0.2">
      <c r="A14" s="25" t="s">
        <v>99</v>
      </c>
      <c r="B14" s="32" t="s">
        <v>1</v>
      </c>
      <c r="C14" s="26" t="s">
        <v>23</v>
      </c>
      <c r="D14" s="27">
        <v>66</v>
      </c>
      <c r="E14" s="33" t="s">
        <v>136</v>
      </c>
      <c r="F14" s="24" t="s">
        <v>159</v>
      </c>
    </row>
    <row r="15" spans="1:9" ht="15" x14ac:dyDescent="0.2">
      <c r="A15" s="25" t="s">
        <v>105</v>
      </c>
      <c r="B15" s="32" t="s">
        <v>1</v>
      </c>
      <c r="C15" s="26" t="s">
        <v>34</v>
      </c>
      <c r="D15" s="27">
        <v>77</v>
      </c>
      <c r="E15" s="33" t="s">
        <v>136</v>
      </c>
      <c r="F15" s="24" t="s">
        <v>159</v>
      </c>
    </row>
    <row r="16" spans="1:9" ht="15" x14ac:dyDescent="0.2">
      <c r="A16" s="25" t="s">
        <v>109</v>
      </c>
      <c r="B16" s="32" t="s">
        <v>1</v>
      </c>
      <c r="C16" s="26" t="s">
        <v>45</v>
      </c>
      <c r="D16" s="27">
        <v>84</v>
      </c>
      <c r="E16" s="33" t="s">
        <v>136</v>
      </c>
      <c r="F16" s="24" t="s">
        <v>159</v>
      </c>
    </row>
    <row r="17" spans="1:8" ht="15" x14ac:dyDescent="0.2">
      <c r="A17" s="25" t="s">
        <v>113</v>
      </c>
      <c r="B17" s="32" t="s">
        <v>3</v>
      </c>
      <c r="C17" s="26" t="s">
        <v>15</v>
      </c>
      <c r="D17" s="27">
        <v>104</v>
      </c>
      <c r="E17" s="33" t="s">
        <v>136</v>
      </c>
      <c r="F17" s="24" t="s">
        <v>143</v>
      </c>
    </row>
    <row r="18" spans="1:8" ht="15" x14ac:dyDescent="0.2">
      <c r="A18" s="25" t="s">
        <v>87</v>
      </c>
      <c r="B18" s="32" t="s">
        <v>84</v>
      </c>
      <c r="C18" s="26" t="s">
        <v>27</v>
      </c>
      <c r="D18" s="27">
        <v>33</v>
      </c>
      <c r="E18" s="33" t="s">
        <v>140</v>
      </c>
      <c r="F18" s="24" t="s">
        <v>159</v>
      </c>
      <c r="G18" s="33" t="s">
        <v>139</v>
      </c>
      <c r="H18" s="24" t="s">
        <v>159</v>
      </c>
    </row>
    <row r="19" spans="1:8" ht="15" x14ac:dyDescent="0.2">
      <c r="A19" s="25" t="s">
        <v>93</v>
      </c>
      <c r="B19" s="32" t="s">
        <v>84</v>
      </c>
      <c r="C19" s="26" t="s">
        <v>40</v>
      </c>
      <c r="D19" s="27">
        <v>46</v>
      </c>
      <c r="E19" s="33" t="s">
        <v>140</v>
      </c>
      <c r="F19" s="24" t="s">
        <v>159</v>
      </c>
      <c r="G19" s="33" t="s">
        <v>139</v>
      </c>
      <c r="H19" s="33" t="s">
        <v>146</v>
      </c>
    </row>
    <row r="20" spans="1:8" ht="15" x14ac:dyDescent="0.2">
      <c r="A20" s="25" t="s">
        <v>96</v>
      </c>
      <c r="B20" s="32" t="s">
        <v>80</v>
      </c>
      <c r="C20" s="26" t="s">
        <v>33</v>
      </c>
      <c r="D20" s="27">
        <v>52</v>
      </c>
      <c r="E20" s="33" t="s">
        <v>140</v>
      </c>
      <c r="F20" s="24" t="s">
        <v>159</v>
      </c>
      <c r="G20" s="33" t="s">
        <v>139</v>
      </c>
      <c r="H20" s="33" t="s">
        <v>144</v>
      </c>
    </row>
    <row r="21" spans="1:8" ht="15" x14ac:dyDescent="0.2">
      <c r="A21" s="25" t="s">
        <v>72</v>
      </c>
      <c r="B21" s="32" t="s">
        <v>73</v>
      </c>
      <c r="C21" s="26" t="s">
        <v>21</v>
      </c>
      <c r="D21" s="27">
        <v>12</v>
      </c>
      <c r="E21" s="33" t="s">
        <v>140</v>
      </c>
      <c r="F21" s="24" t="s">
        <v>159</v>
      </c>
    </row>
    <row r="22" spans="1:8" ht="15" x14ac:dyDescent="0.2">
      <c r="A22" s="25" t="s">
        <v>97</v>
      </c>
      <c r="B22" s="32" t="s">
        <v>80</v>
      </c>
      <c r="C22" s="26" t="s">
        <v>14</v>
      </c>
      <c r="D22" s="27">
        <v>55</v>
      </c>
      <c r="E22" s="33" t="s">
        <v>140</v>
      </c>
      <c r="F22" s="24" t="s">
        <v>159</v>
      </c>
    </row>
    <row r="23" spans="1:8" ht="15" x14ac:dyDescent="0.2">
      <c r="A23" s="25" t="s">
        <v>103</v>
      </c>
      <c r="B23" s="32" t="s">
        <v>80</v>
      </c>
      <c r="C23" s="26" t="s">
        <v>50</v>
      </c>
      <c r="D23" s="27">
        <v>73</v>
      </c>
      <c r="E23" s="33" t="s">
        <v>140</v>
      </c>
      <c r="F23" s="24" t="s">
        <v>159</v>
      </c>
    </row>
    <row r="24" spans="1:8" ht="15" x14ac:dyDescent="0.2">
      <c r="A24" s="25" t="s">
        <v>111</v>
      </c>
      <c r="B24" s="32" t="s">
        <v>3</v>
      </c>
      <c r="C24" s="26" t="s">
        <v>44</v>
      </c>
      <c r="D24" s="27">
        <v>92</v>
      </c>
      <c r="E24" s="33" t="s">
        <v>140</v>
      </c>
      <c r="F24" s="24" t="s">
        <v>159</v>
      </c>
    </row>
    <row r="25" spans="1:8" ht="15" x14ac:dyDescent="0.2">
      <c r="A25" s="25" t="s">
        <v>95</v>
      </c>
      <c r="B25" s="32" t="s">
        <v>1</v>
      </c>
      <c r="C25" s="26" t="s">
        <v>57</v>
      </c>
      <c r="D25" s="27">
        <v>49</v>
      </c>
      <c r="E25" s="33" t="s">
        <v>139</v>
      </c>
      <c r="F25" s="24" t="s">
        <v>159</v>
      </c>
      <c r="G25" s="33" t="s">
        <v>140</v>
      </c>
      <c r="H25" s="33" t="s">
        <v>145</v>
      </c>
    </row>
    <row r="26" spans="1:8" ht="15" x14ac:dyDescent="0.2">
      <c r="A26" s="25" t="s">
        <v>89</v>
      </c>
      <c r="B26" s="32" t="s">
        <v>2</v>
      </c>
      <c r="C26" s="26" t="s">
        <v>28</v>
      </c>
      <c r="D26" s="27">
        <v>39</v>
      </c>
      <c r="E26" s="33" t="s">
        <v>139</v>
      </c>
      <c r="F26" s="24" t="s">
        <v>159</v>
      </c>
    </row>
    <row r="27" spans="1:8" ht="15" x14ac:dyDescent="0.2">
      <c r="A27" s="25" t="s">
        <v>102</v>
      </c>
      <c r="B27" s="32" t="s">
        <v>80</v>
      </c>
      <c r="C27" s="26" t="s">
        <v>20</v>
      </c>
      <c r="D27" s="27">
        <v>69</v>
      </c>
      <c r="E27" s="33" t="s">
        <v>139</v>
      </c>
      <c r="F27" s="24" t="s">
        <v>159</v>
      </c>
    </row>
    <row r="28" spans="1:8" ht="15" x14ac:dyDescent="0.2">
      <c r="A28" s="25" t="s">
        <v>104</v>
      </c>
      <c r="B28" s="32" t="s">
        <v>2</v>
      </c>
      <c r="C28" s="26" t="s">
        <v>7</v>
      </c>
      <c r="D28" s="27">
        <v>74</v>
      </c>
      <c r="E28" s="33" t="s">
        <v>139</v>
      </c>
      <c r="F28" s="24" t="s">
        <v>159</v>
      </c>
    </row>
    <row r="29" spans="1:8" ht="15" x14ac:dyDescent="0.2">
      <c r="A29" s="25" t="s">
        <v>110</v>
      </c>
      <c r="B29" s="32" t="s">
        <v>3</v>
      </c>
      <c r="C29" s="26" t="s">
        <v>11</v>
      </c>
      <c r="D29" s="27">
        <v>90</v>
      </c>
      <c r="E29" s="33" t="s">
        <v>139</v>
      </c>
      <c r="F29" s="24" t="s">
        <v>159</v>
      </c>
    </row>
    <row r="30" spans="1:8" ht="15" x14ac:dyDescent="0.2">
      <c r="A30" s="25" t="s">
        <v>123</v>
      </c>
      <c r="B30" s="32" t="s">
        <v>3</v>
      </c>
      <c r="C30" s="26" t="s">
        <v>19</v>
      </c>
      <c r="D30" s="27">
        <v>180</v>
      </c>
      <c r="E30" s="33" t="s">
        <v>139</v>
      </c>
      <c r="F30" s="24" t="s">
        <v>159</v>
      </c>
    </row>
    <row r="31" spans="1:8" ht="15" x14ac:dyDescent="0.2">
      <c r="A31" s="25" t="s">
        <v>74</v>
      </c>
      <c r="B31" s="32" t="s">
        <v>3</v>
      </c>
      <c r="C31" s="26" t="s">
        <v>32</v>
      </c>
      <c r="D31" s="27">
        <v>12</v>
      </c>
      <c r="E31" s="33"/>
    </row>
    <row r="32" spans="1:8" ht="15" x14ac:dyDescent="0.2">
      <c r="A32" s="25" t="s">
        <v>76</v>
      </c>
      <c r="B32" s="32" t="s">
        <v>1</v>
      </c>
      <c r="C32" s="26" t="s">
        <v>30</v>
      </c>
      <c r="D32" s="27">
        <v>17</v>
      </c>
      <c r="E32" s="33"/>
    </row>
    <row r="33" spans="1:5" ht="15" x14ac:dyDescent="0.2">
      <c r="A33" s="25" t="s">
        <v>77</v>
      </c>
      <c r="B33" s="32" t="s">
        <v>2</v>
      </c>
      <c r="C33" s="26" t="s">
        <v>48</v>
      </c>
      <c r="D33" s="27">
        <v>18</v>
      </c>
      <c r="E33" s="33"/>
    </row>
    <row r="34" spans="1:5" ht="15" x14ac:dyDescent="0.2">
      <c r="A34" s="25" t="s">
        <v>78</v>
      </c>
      <c r="B34" s="32" t="s">
        <v>1</v>
      </c>
      <c r="C34" s="26" t="s">
        <v>56</v>
      </c>
      <c r="D34" s="27">
        <v>23</v>
      </c>
      <c r="E34" s="33"/>
    </row>
    <row r="35" spans="1:5" ht="15" x14ac:dyDescent="0.2">
      <c r="A35" s="25" t="s">
        <v>79</v>
      </c>
      <c r="B35" s="32" t="s">
        <v>80</v>
      </c>
      <c r="C35" s="26" t="s">
        <v>54</v>
      </c>
      <c r="D35" s="27">
        <v>23</v>
      </c>
      <c r="E35" s="33"/>
    </row>
    <row r="36" spans="1:5" ht="15" x14ac:dyDescent="0.2">
      <c r="A36" s="25" t="s">
        <v>81</v>
      </c>
      <c r="B36" s="32" t="s">
        <v>3</v>
      </c>
      <c r="C36" s="26" t="s">
        <v>22</v>
      </c>
      <c r="D36" s="27">
        <v>25</v>
      </c>
      <c r="E36" s="33"/>
    </row>
    <row r="37" spans="1:5" ht="15" x14ac:dyDescent="0.2">
      <c r="A37" s="25" t="s">
        <v>82</v>
      </c>
      <c r="B37" s="32" t="s">
        <v>80</v>
      </c>
      <c r="C37" s="26" t="s">
        <v>49</v>
      </c>
      <c r="D37" s="27">
        <v>27</v>
      </c>
      <c r="E37" s="33"/>
    </row>
    <row r="38" spans="1:5" ht="15" x14ac:dyDescent="0.2">
      <c r="A38" s="25" t="s">
        <v>83</v>
      </c>
      <c r="B38" s="32" t="s">
        <v>84</v>
      </c>
      <c r="C38" s="26" t="s">
        <v>47</v>
      </c>
      <c r="D38" s="27">
        <v>29</v>
      </c>
      <c r="E38" s="33"/>
    </row>
    <row r="39" spans="1:5" ht="15" x14ac:dyDescent="0.2">
      <c r="A39" s="25" t="s">
        <v>88</v>
      </c>
      <c r="B39" s="32" t="s">
        <v>1</v>
      </c>
      <c r="C39" s="26" t="s">
        <v>10</v>
      </c>
      <c r="D39" s="27">
        <v>34</v>
      </c>
      <c r="E39" s="33"/>
    </row>
    <row r="40" spans="1:5" ht="15" x14ac:dyDescent="0.2">
      <c r="A40" s="25" t="s">
        <v>91</v>
      </c>
      <c r="B40" s="32" t="s">
        <v>80</v>
      </c>
      <c r="C40" s="26" t="s">
        <v>60</v>
      </c>
      <c r="D40" s="27">
        <v>44</v>
      </c>
      <c r="E40" s="33"/>
    </row>
    <row r="41" spans="1:5" ht="15" x14ac:dyDescent="0.2">
      <c r="A41" s="25" t="s">
        <v>114</v>
      </c>
      <c r="B41" s="32" t="s">
        <v>3</v>
      </c>
      <c r="C41" s="26" t="s">
        <v>46</v>
      </c>
      <c r="D41" s="27">
        <v>107</v>
      </c>
      <c r="E41" s="33"/>
    </row>
    <row r="42" spans="1:5" ht="15" x14ac:dyDescent="0.2">
      <c r="A42" s="25" t="s">
        <v>115</v>
      </c>
      <c r="B42" s="32" t="s">
        <v>84</v>
      </c>
      <c r="C42" s="26" t="s">
        <v>31</v>
      </c>
      <c r="D42" s="27">
        <v>112</v>
      </c>
      <c r="E42" s="33"/>
    </row>
    <row r="43" spans="1:5" ht="15" x14ac:dyDescent="0.2">
      <c r="A43" s="25" t="s">
        <v>116</v>
      </c>
      <c r="B43" s="32" t="s">
        <v>1</v>
      </c>
      <c r="C43" s="26" t="s">
        <v>51</v>
      </c>
      <c r="D43" s="27">
        <v>115</v>
      </c>
      <c r="E43" s="33"/>
    </row>
    <row r="44" spans="1:5" ht="15" x14ac:dyDescent="0.2">
      <c r="A44" s="25" t="s">
        <v>117</v>
      </c>
      <c r="B44" s="32" t="s">
        <v>1</v>
      </c>
      <c r="C44" s="26" t="s">
        <v>61</v>
      </c>
      <c r="D44" s="27">
        <v>124</v>
      </c>
      <c r="E44" s="33"/>
    </row>
    <row r="45" spans="1:5" ht="15" x14ac:dyDescent="0.2">
      <c r="A45" s="25" t="s">
        <v>118</v>
      </c>
      <c r="B45" s="32" t="s">
        <v>3</v>
      </c>
      <c r="C45" s="26" t="s">
        <v>53</v>
      </c>
      <c r="D45" s="27">
        <v>125</v>
      </c>
      <c r="E45" s="33"/>
    </row>
    <row r="46" spans="1:5" ht="15" x14ac:dyDescent="0.2">
      <c r="A46" s="25" t="s">
        <v>119</v>
      </c>
      <c r="B46" s="32" t="s">
        <v>1</v>
      </c>
      <c r="C46" s="26" t="s">
        <v>63</v>
      </c>
      <c r="D46" s="27">
        <v>127</v>
      </c>
      <c r="E46" s="33"/>
    </row>
    <row r="47" spans="1:5" ht="15" x14ac:dyDescent="0.2">
      <c r="A47" s="25" t="s">
        <v>120</v>
      </c>
      <c r="B47" s="32" t="s">
        <v>108</v>
      </c>
      <c r="C47" s="26" t="s">
        <v>35</v>
      </c>
      <c r="D47" s="27">
        <v>136</v>
      </c>
      <c r="E47" s="33"/>
    </row>
    <row r="48" spans="1:5" ht="15" x14ac:dyDescent="0.2">
      <c r="A48" s="25" t="s">
        <v>121</v>
      </c>
      <c r="B48" s="32" t="s">
        <v>4</v>
      </c>
      <c r="C48" s="26" t="s">
        <v>38</v>
      </c>
      <c r="D48" s="27">
        <v>175</v>
      </c>
      <c r="E48" s="33"/>
    </row>
    <row r="49" spans="1:5" ht="15" x14ac:dyDescent="0.2">
      <c r="A49" s="25" t="s">
        <v>122</v>
      </c>
      <c r="B49" s="32" t="s">
        <v>1</v>
      </c>
      <c r="C49" s="26" t="s">
        <v>42</v>
      </c>
      <c r="D49" s="27">
        <v>175</v>
      </c>
      <c r="E49" s="33"/>
    </row>
    <row r="50" spans="1:5" ht="15" x14ac:dyDescent="0.2">
      <c r="A50" s="25" t="s">
        <v>124</v>
      </c>
      <c r="B50" s="32" t="s">
        <v>3</v>
      </c>
      <c r="C50" s="26" t="s">
        <v>64</v>
      </c>
      <c r="D50" s="27">
        <v>220</v>
      </c>
      <c r="E50" s="33"/>
    </row>
    <row r="51" spans="1:5" ht="15" x14ac:dyDescent="0.2">
      <c r="A51" s="25" t="s">
        <v>125</v>
      </c>
      <c r="B51" s="32" t="s">
        <v>84</v>
      </c>
      <c r="C51" s="26" t="s">
        <v>25</v>
      </c>
      <c r="D51" s="27">
        <v>238</v>
      </c>
      <c r="E51" s="33"/>
    </row>
    <row r="52" spans="1:5" ht="15" x14ac:dyDescent="0.2">
      <c r="A52" s="25" t="s">
        <v>126</v>
      </c>
      <c r="B52" s="32" t="s">
        <v>2</v>
      </c>
      <c r="C52" s="26" t="s">
        <v>59</v>
      </c>
      <c r="D52" s="27">
        <v>249</v>
      </c>
      <c r="E52" s="33"/>
    </row>
    <row r="53" spans="1:5" ht="15" x14ac:dyDescent="0.2">
      <c r="A53" s="25" t="s">
        <v>127</v>
      </c>
      <c r="B53" s="32" t="s">
        <v>1</v>
      </c>
      <c r="C53" s="26" t="s">
        <v>43</v>
      </c>
      <c r="D53" s="27">
        <v>267</v>
      </c>
      <c r="E53" s="33"/>
    </row>
    <row r="54" spans="1:5" ht="15" x14ac:dyDescent="0.2">
      <c r="A54" s="25" t="s">
        <v>128</v>
      </c>
      <c r="B54" s="32" t="s">
        <v>108</v>
      </c>
      <c r="C54" s="26" t="s">
        <v>55</v>
      </c>
      <c r="D54" s="27">
        <v>277</v>
      </c>
      <c r="E54" s="33"/>
    </row>
    <row r="55" spans="1:5" ht="15" x14ac:dyDescent="0.2">
      <c r="A55" s="25" t="s">
        <v>129</v>
      </c>
      <c r="B55" s="32" t="s">
        <v>84</v>
      </c>
      <c r="C55" s="26" t="s">
        <v>65</v>
      </c>
      <c r="D55" s="27">
        <v>300</v>
      </c>
      <c r="E55" s="33"/>
    </row>
    <row r="56" spans="1:5" ht="15" x14ac:dyDescent="0.2">
      <c r="A56" s="25" t="s">
        <v>130</v>
      </c>
      <c r="B56" s="32" t="s">
        <v>3</v>
      </c>
      <c r="C56" s="26" t="s">
        <v>29</v>
      </c>
      <c r="D56" s="27">
        <v>325</v>
      </c>
      <c r="E56" s="33"/>
    </row>
    <row r="57" spans="1:5" ht="15" x14ac:dyDescent="0.2">
      <c r="A57" s="25" t="s">
        <v>132</v>
      </c>
      <c r="B57" s="32" t="s">
        <v>84</v>
      </c>
      <c r="C57" s="26" t="s">
        <v>62</v>
      </c>
      <c r="D57" s="27">
        <v>377</v>
      </c>
      <c r="E57" s="33"/>
    </row>
    <row r="58" spans="1:5" ht="15" x14ac:dyDescent="0.2">
      <c r="A58" s="25" t="s">
        <v>133</v>
      </c>
      <c r="B58" s="32" t="s">
        <v>3</v>
      </c>
      <c r="C58" s="26" t="s">
        <v>58</v>
      </c>
      <c r="D58" s="27">
        <v>511</v>
      </c>
      <c r="E58" s="33"/>
    </row>
    <row r="59" spans="1:5" x14ac:dyDescent="0.2">
      <c r="A59" s="28" t="s">
        <v>162</v>
      </c>
      <c r="D59" s="28">
        <f>SUM(D2:D58)</f>
        <v>6385</v>
      </c>
    </row>
    <row r="60" spans="1:5" x14ac:dyDescent="0.2">
      <c r="A60" s="28" t="s">
        <v>165</v>
      </c>
      <c r="D60" s="28">
        <f>SUM(D31:D58)</f>
        <v>4212</v>
      </c>
      <c r="E60" s="34" t="s">
        <v>163</v>
      </c>
    </row>
    <row r="61" spans="1:5" x14ac:dyDescent="0.2">
      <c r="D61" s="28">
        <f>D60+D17+D5+D2</f>
        <v>4687</v>
      </c>
      <c r="E61" s="34" t="s">
        <v>164</v>
      </c>
    </row>
    <row r="63" spans="1:5" ht="15" x14ac:dyDescent="0.2">
      <c r="A63" s="25" t="s">
        <v>70</v>
      </c>
      <c r="B63" s="32" t="s">
        <v>1</v>
      </c>
      <c r="C63" s="26" t="s">
        <v>8</v>
      </c>
      <c r="D63" s="27">
        <v>1</v>
      </c>
      <c r="E63" s="33" t="s">
        <v>69</v>
      </c>
    </row>
    <row r="64" spans="1:5" ht="15" x14ac:dyDescent="0.2">
      <c r="A64" s="25" t="s">
        <v>71</v>
      </c>
      <c r="B64" s="32" t="s">
        <v>4</v>
      </c>
      <c r="C64" s="26" t="s">
        <v>13</v>
      </c>
      <c r="D64" s="27">
        <v>7</v>
      </c>
      <c r="E64" s="33" t="s">
        <v>69</v>
      </c>
    </row>
    <row r="65" spans="1:5" ht="15" x14ac:dyDescent="0.2">
      <c r="A65" s="25" t="s">
        <v>75</v>
      </c>
      <c r="B65" s="32" t="s">
        <v>1</v>
      </c>
      <c r="C65" s="26" t="s">
        <v>41</v>
      </c>
      <c r="D65" s="27">
        <v>15</v>
      </c>
      <c r="E65" s="33" t="s">
        <v>69</v>
      </c>
    </row>
  </sheetData>
  <sortState xmlns:xlrd2="http://schemas.microsoft.com/office/spreadsheetml/2017/richdata2" ref="A2:H58">
    <sortCondition ref="E2:E58"/>
    <sortCondition ref="F2:F5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sickness data</vt:lpstr>
      <vt:lpstr>sickness and nonsickness data</vt:lpstr>
      <vt:lpstr>OCM 750 and 780 comparison</vt:lpstr>
      <vt:lpstr>PB-NewList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Chantland, Eric</cp:lastModifiedBy>
  <dcterms:created xsi:type="dcterms:W3CDTF">2023-01-20T21:18:23Z</dcterms:created>
  <dcterms:modified xsi:type="dcterms:W3CDTF">2025-08-08T16:13:19Z</dcterms:modified>
</cp:coreProperties>
</file>